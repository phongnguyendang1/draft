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p 100 Jobs" sheetId="1" state="visible" r:id="rId3"/>
    <sheet name="Groups" sheetId="2" state="visible" r:id="rId4"/>
    <sheet name="Evidence" sheetId="3" state="visible" r:id="rId5"/>
    <sheet name="Referred Out" sheetId="4" state="visible" r:id="rId6"/>
    <sheet name="Runners-up" sheetId="5" state="visible" r:id="rId7"/>
    <sheet name="Method &amp; Notes" sheetId="6" state="visible" r:id="rId8"/>
    <sheet name="Sources" sheetId="7" state="visible" r:id="rId9"/>
    <sheet name="Prototype Compare" sheetId="8" state="visible" r:id="rId10"/>
  </sheets>
  <definedNames>
    <definedName function="false" hidden="true" localSheetId="2" name="_xlnm._FilterDatabase" vbProcedure="false">Evidence!$A$1:$F$680</definedName>
    <definedName function="false" hidden="true" localSheetId="6" name="_xlnm._FilterDatabase" vbProcedure="false">Sources!$A$1:$E$176</definedName>
    <definedName function="false" hidden="true" localSheetId="0" name="_xlnm._FilterDatabase" vbProcedure="false">'Top 100 Jobs'!$A$1:$O$101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<sst xmlns="http://schemas.openxmlformats.org/spreadsheetml/2006/main" count="5757" uniqueCount="2513">
  <si>
    <t xml:space="preserve">Rank</t>
  </si>
  <si>
    <t xml:space="preserve">Job</t>
  </si>
  <si>
    <t xml:space="preserve">Group</t>
  </si>
  <si>
    <t xml:space="preserve">What it covers</t>
  </si>
  <si>
    <t xml:space="preserve">Typical time (min)</t>
  </si>
  <si>
    <t xml:space="preserve">Member has the part?</t>
  </si>
  <si>
    <t xml:space="preserve">Licensed-trade note</t>
  </si>
  <si>
    <t xml:space="preserve">Research angles listing it (of 9)</t>
  </si>
  <si>
    <t xml:space="preserve">Mentions</t>
  </si>
  <si>
    <t xml:space="preserve">Score</t>
  </si>
  <si>
    <t xml:space="preserve">Tier</t>
  </si>
  <si>
    <t xml:space="preserve">Search keywords</t>
  </si>
  <si>
    <t xml:space="preserve">In today's prototype</t>
  </si>
  <si>
    <t xml:space="preserve">Confidence</t>
  </si>
  <si>
    <t xml:space="preserve">Note</t>
  </si>
  <si>
    <t xml:space="preserve">Patch a hole in drywall</t>
  </si>
  <si>
    <t xml:space="preserve">Walls, Paint &amp; Tile</t>
  </si>
  <si>
    <t xml:space="preserve">Repair small and medium holes (up to about 6 inches) and dents in drywall with a patch kit and setting-type compound, ready for paint; does not include large sections, texture matching across a whole wall or painting the full room.</t>
  </si>
  <si>
    <t xml:space="preserve">Either</t>
  </si>
  <si>
    <t xml:space="preserve">Pre-1978 homes: lead-safe check before sanding painted surfaces</t>
  </si>
  <si>
    <t xml:space="preserve">drywall patch, hole in wall, wall repair, drywall repair, doorknob hole, nail holes, sheetrock, spackle</t>
  </si>
  <si>
    <t xml:space="preserve">New</t>
  </si>
  <si>
    <t xml:space="preserve">Replace a ceiling fan</t>
  </si>
  <si>
    <t xml:space="preserve">Lighting &amp; Electrical Swaps</t>
  </si>
  <si>
    <t xml:space="preserve">Replace an existing ceiling fan (or fan-light) with a like-for-like fan you provide on an existing fan-rated box, ceiling about 9 ft or lower, including assembly and balancing; light-to-fan conversions, new fan locations and new wiring are not included.</t>
  </si>
  <si>
    <t xml:space="preserve">Member supplies part</t>
  </si>
  <si>
    <t xml:space="preserve">Swap on existing fan-rated box and wiring only; a light-to-fan conversion or new fan location is new wiring and box work</t>
  </si>
  <si>
    <t xml:space="preserve">replace ceiling fan, install ceiling fan, swap fan, fan install, ceiling fan swap, new fan, fan light kit</t>
  </si>
  <si>
    <t xml:space="preserve">Replace a ceiling or bath fan</t>
  </si>
  <si>
    <t xml:space="preserve">Replace a light fixture</t>
  </si>
  <si>
    <t xml:space="preserve">Swap an existing ceiling or wall light for a like-for-like fixture you provide, on the existing rated box and wiring with ceilings about 9 ft or lower; no new fixture locations, new boxes or new wiring.</t>
  </si>
  <si>
    <t xml:space="preserve">Like-for-like swap only; no new wiring or new box; stop on aluminum, cloth-covered or damaged wiring or a loose or unrated box</t>
  </si>
  <si>
    <t xml:space="preserve">replace light fixture, install light, swap light, ceiling light, vanity light, flush mount, light install, change light fixture</t>
  </si>
  <si>
    <t xml:space="preserve">Fix a running toilet</t>
  </si>
  <si>
    <t xml:space="preserve">Plumbing</t>
  </si>
  <si>
    <t xml:space="preserve">Stop a toilet that runs, keeps refilling or flushes weakly by swapping the flapper or fill valve, adjusting the chain or float, or clearing the rim jets; does not include replacing the toilet or fixing a cracked tank.</t>
  </si>
  <si>
    <t xml:space="preserve">Internal parts only; no supply or drain changes</t>
  </si>
  <si>
    <t xml:space="preserve">running toilet, toilet keeps running, flapper, fill valve, toilet runs, phantom flush, toilet chain, weak flush, slow refill</t>
  </si>
  <si>
    <t xml:space="preserve">Running toilet</t>
  </si>
  <si>
    <t xml:space="preserve">Re-caulk a tub, shower or sink</t>
  </si>
  <si>
    <t xml:space="preserve">Remove failed caulk and apply a fresh bead around a tub, shower or sink; cure time is on the member and tile or grout replacement is not included.</t>
  </si>
  <si>
    <t xml:space="preserve">None</t>
  </si>
  <si>
    <t xml:space="preserve">caulk tub, recaulk shower, bathroom caulk, seal sink, caulking, silicone, moldy caulk, reseal tub</t>
  </si>
  <si>
    <t xml:space="preserve">Install a smart thermostat</t>
  </si>
  <si>
    <t xml:space="preserve">Swap an existing low-voltage thermostat for a smart or programmable one you provide using the existing wires (including a C-wire if already present) and set it up in the app; no new C-wire run, baseboard line-voltage units or HVAC work.</t>
  </si>
  <si>
    <t xml:space="preserve">Existing low-voltage wires only; no new wiring or C-wire run; baseboard or multistage heat-pump setups go to an HVAC tech</t>
  </si>
  <si>
    <t xml:space="preserve">smart thermostat, Nest, ecobee, thermostat install, replace thermostat, programmable thermostat, Wi-Fi thermostat</t>
  </si>
  <si>
    <t xml:space="preserve">Fix a door that sticks, rubs, squeaks or will not latch</t>
  </si>
  <si>
    <t xml:space="preserve">Doors &amp; Locks</t>
  </si>
  <si>
    <t xml:space="preserve">Adjust hinges, strike plate or door edge so an interior or exterior door opens, closes and latches smoothly and stops squeaking; does not include hanging a new door.</t>
  </si>
  <si>
    <t xml:space="preserve">No part needed</t>
  </si>
  <si>
    <t xml:space="preserve">sticking door, door rubs, door won't close, door won't latch, strike plate, misaligned door, squeaky door, door hinge, sagging door, door adjust</t>
  </si>
  <si>
    <t xml:space="preserve">Replace a garbage disposal</t>
  </si>
  <si>
    <t xml:space="preserve">Kitchen &amp; Appliances</t>
  </si>
  <si>
    <t xml:space="preserve">Swap a worn-out disposal for a like-for-like unit you provide where the sink drain, switch and power (plug-in cord or existing hardwired lead) already exist; no first-time installs, drain changes or new outlets.</t>
  </si>
  <si>
    <t xml:space="preserve">Like-for-like swap only; no drain rerouting or new electrical</t>
  </si>
  <si>
    <t xml:space="preserve">replace garbage disposal, install disposal, disposer swap, kitchen disposal, new disposal, sink grinder</t>
  </si>
  <si>
    <t xml:space="preserve">Replace a faucet</t>
  </si>
  <si>
    <t xml:space="preserve">Swap a kitchen or bathroom faucet for a like-for-like one you provide, same hole count and location, using the existing shutoff valves and supply lines (or new supply lines you provide); no moving or adding water or drain lines and no drilling stone sinks.</t>
  </si>
  <si>
    <t xml:space="preserve">Like-for-like swap only; seized shutoffs, corroded or soldered supply lines or moved lines go to a plumber</t>
  </si>
  <si>
    <t xml:space="preserve">replace faucet, install faucet, new faucet, kitchen faucet, bathroom faucet, swap tap, faucet install, sink faucet</t>
  </si>
  <si>
    <t xml:space="preserve">Fix a leaky or low-flow faucet</t>
  </si>
  <si>
    <t xml:space="preserve">Stop a drip or leak at a kitchen or bathroom faucet by swapping the cartridge, washer or O-ring you provide, or restore flow by cleaning or replacing a clogged aerator; does not include replacing the faucet or fixing leaking supply lines or valves in the wall.</t>
  </si>
  <si>
    <t xml:space="preserve">Fixture-side repair only; corroded valves or in-wall leaks go to a plumber</t>
  </si>
  <si>
    <t xml:space="preserve">leaky faucet, dripping faucet, faucet drip, faucet leak, cartridge, washer, O-ring, tap leak, faucet aerator, low water pressure faucet, clogged aerator</t>
  </si>
  <si>
    <t xml:space="preserve">Replace an electrical outlet</t>
  </si>
  <si>
    <t xml:space="preserve">Swap a worn, loose or dead receptacle for a same-type outlet on existing wiring (add 15 minutes per extra outlet); does not include adding new outlets or circuits, or putting a grounded outlet where there is no ground wire.</t>
  </si>
  <si>
    <t xml:space="preserve">Like-for-like swap only; no new outlets, circuits or wiring; stop on aluminum wiring, no ground, or scorched or hot outlets (electrician)</t>
  </si>
  <si>
    <t xml:space="preserve">replace outlet, receptacle, dead outlet, loose outlet, plug socket, change outlet, outlet swap, tamper-resistant outlet</t>
  </si>
  <si>
    <t xml:space="preserve">Touch up paint on walls or trim</t>
  </si>
  <si>
    <t xml:space="preserve">Spot-paint patches, scuffs or a single small wall section or trim run with matching paint you provide; full rooms are not included.</t>
  </si>
  <si>
    <t xml:space="preserve">Pre-1978 homes: lead-safe check before sanding or scraping</t>
  </si>
  <si>
    <t xml:space="preserve">touch up paint, paint patch, wall touch-up, scuffs, trim paint, spot paint, paint after repair, small paint job</t>
  </si>
  <si>
    <t xml:space="preserve">Mount a TV on the wall</t>
  </si>
  <si>
    <t xml:space="preserve">Mounting &amp; Hanging</t>
  </si>
  <si>
    <t xml:space="preserve">Mount a TV on a wall bracket you provide into wood studs or proper anchors on a drywall wall, with on-wall cable covers; cables run outside the wall and an adult helper is needed for TVs over 55 inches; hiding cables inside the wall is not included.</t>
  </si>
  <si>
    <t xml:space="preserve">No in-wall power or new outlet; low-voltage cable cover only</t>
  </si>
  <si>
    <t xml:space="preserve">mount TV, hang TV, wall mount TV, TV bracket, television mounting, flat screen, TV install, cable cover</t>
  </si>
  <si>
    <t xml:space="preserve">Replace a deadbolt or door lock</t>
  </si>
  <si>
    <t xml:space="preserve">Swap a deadbolt or entry lockset for a like-for-like one you provide in the existing bored holes; smart locks are a separate job; drilling new holes and mortise locks are not included.</t>
  </si>
  <si>
    <t xml:space="preserve">Like-for-like hardware swap on existing bore</t>
  </si>
  <si>
    <t xml:space="preserve">replace deadbolt, change lock, door lock, entry lock, new deadbolt, lockset, lock replacement</t>
  </si>
  <si>
    <t xml:space="preserve">Assemble flat-pack furniture</t>
  </si>
  <si>
    <t xml:space="preserve">Furniture &amp; Assembly</t>
  </si>
  <si>
    <t xml:space="preserve">Assemble one or two flat-pack (IKEA-style) pieces such as a shelf unit, nightstand, TV stand, table or chairs, up to about 2 hours of assembly in total; beds, desks, dressers and exercise equipment are booked as their own jobs.</t>
  </si>
  <si>
    <t xml:space="preserve">assemble furniture, IKEA assembly, flat pack, put together furniture, furniture assembly, Wayfair assembly, build furniture</t>
  </si>
  <si>
    <t xml:space="preserve">Install floating shelves or wall shelves</t>
  </si>
  <si>
    <t xml:space="preserve">Mount floating or bracket shelves you provide into studs or proper anchors and level them; built-in or custom shelving is not included.</t>
  </si>
  <si>
    <t xml:space="preserve">floating shelves, wall shelves, hang shelf, install shelf, shelf bracket, mount shelves, bookshelf wall</t>
  </si>
  <si>
    <t xml:space="preserve">Replace door weatherstripping or a door sweep</t>
  </si>
  <si>
    <t xml:space="preserve">Replace worn weatherstripping or install a door sweep on an exterior door to stop drafts; does not include replacing the door.</t>
  </si>
  <si>
    <t xml:space="preserve">weatherstripping, door sweep, draft door, door seal, door bottom, stop drafts, door gasket, exterior door seal</t>
  </si>
  <si>
    <t xml:space="preserve">Add weatherstripping or a door sweep</t>
  </si>
  <si>
    <t xml:space="preserve">Unclog a toilet</t>
  </si>
  <si>
    <t xml:space="preserve">Clear a clogged toilet with a plunger or hand auger at the fixture (one fixture only); stop and refer if a second fixture backs up, a cleanout or main line is involved, or clogs repeat.</t>
  </si>
  <si>
    <t xml:space="preserve">Hand tools only; main-line or sewer backups go to a plumber</t>
  </si>
  <si>
    <t xml:space="preserve">clogged toilet, toilet clog, plunge toilet, toilet auger, toilet won't flush, blocked toilet, overflowing toilet</t>
  </si>
  <si>
    <t xml:space="preserve">Replace a light switch or dimmer</t>
  </si>
  <si>
    <t xml:space="preserve">Swap a worn or broken wall switch, or swap a standard switch for a dimmer or smart switch, in the same box on existing wiring (single-pole, or three-way with a matching switch); smart switches only where a neutral wire is present; no new wiring or new switch locations.</t>
  </si>
  <si>
    <t xml:space="preserve">Like-for-like swap only; no new wiring; smart switch only where a neutral exists; 30 minutes for a single-pole swap, 45 for three-way or smart</t>
  </si>
  <si>
    <t xml:space="preserve">replace light switch, dimmer switch, smart switch, wall switch, switch swap, broken switch, install dimmer, three-way switch, Lutron, Wi-Fi light switch</t>
  </si>
  <si>
    <t xml:space="preserve">Replace a toilet</t>
  </si>
  <si>
    <t xml:space="preserve">Swap an old toilet for a like-for-like one you provide at the same spot with a working shutoff and a sound flange and floor; an adult helper must be present to lift; no relocating or repairing the flange or subfloor.</t>
  </si>
  <si>
    <t xml:space="preserve">Same-spot swap only; damaged flange, stuck shutoff or soft subfloor goes to a plumber</t>
  </si>
  <si>
    <t xml:space="preserve">replace toilet, install toilet, new toilet, toilet swap, toilet install, change toilet, wax ring</t>
  </si>
  <si>
    <t xml:space="preserve">Replace a toilet seat</t>
  </si>
  <si>
    <t xml:space="preserve">Fix a leak under a sink</t>
  </si>
  <si>
    <t xml:space="preserve">Stop a drip under a kitchen or bathroom sink by tightening a supply-line, shutoff or slip-nut trap connection, or swapping a braided supply line or P-trap you provide; stop and refer if the source is inside the wall or needs cutting, soldering or a corroded drain pipe replaced.</t>
  </si>
  <si>
    <t xml:space="preserve">Fittings, supply lines and traps only; corroded valves or in-wall leaks go to a plumber</t>
  </si>
  <si>
    <t xml:space="preserve">leak under sink, sink drip, supply line, P-trap, under sink leak, braided hose, shutoff valve leak, drain trap</t>
  </si>
  <si>
    <t xml:space="preserve">Replace a door knob or handle</t>
  </si>
  <si>
    <t xml:space="preserve">Swap a door knob, lever or passage or privacy lockset on an existing prepared door with hardware you provide; does not include drilling a new bore, mortise locks or deadbolts.</t>
  </si>
  <si>
    <t xml:space="preserve">Like-for-like swap on an existing bore</t>
  </si>
  <si>
    <t xml:space="preserve">replace door knob, door handle, lever handle, lockset, privacy knob, passage knob, door hardware</t>
  </si>
  <si>
    <t xml:space="preserve">Change the AC or furnace air filter</t>
  </si>
  <si>
    <t xml:space="preserve">Home Care &amp; Safety</t>
  </si>
  <si>
    <t xml:space="preserve">Swap the furnace or AC return filter for a new one you provide, including hard-to-reach returns at step-ladder height; no duct cleaning or HVAC repair.</t>
  </si>
  <si>
    <t xml:space="preserve">change air filter, replace furnace filter, HVAC filter, AC filter, return vent filter, filter swap, air filter</t>
  </si>
  <si>
    <t xml:space="preserve">Install a video doorbell</t>
  </si>
  <si>
    <t xml:space="preserve">Install a battery video doorbell, or replace an existing doorbell button with one on working low-voltage doorbell wiring (no transformer swap), and set up the app; allow extra time for brick or stucco; second-story doors are not included.</t>
  </si>
  <si>
    <t xml:space="preserve">Battery or existing low-voltage wiring only; no new transformer or wiring</t>
  </si>
  <si>
    <t xml:space="preserve">video doorbell, Ring doorbell, Nest doorbell, smart doorbell, doorbell camera, install doorbell, doorbell swap</t>
  </si>
  <si>
    <t xml:space="preserve">Install a doorbell</t>
  </si>
  <si>
    <t xml:space="preserve">Unclog a sink drain</t>
  </si>
  <si>
    <t xml:space="preserve">Clear a slow or clogged kitchen or bathroom sink with a plunger, small snake or trap clean-out (one fixture only); main-line backups are not included.</t>
  </si>
  <si>
    <t xml:space="preserve">Hand tools only; main-line or sewage backups go to a plumber</t>
  </si>
  <si>
    <t xml:space="preserve">clogged sink, slow drain, sink clog, unclog drain, drain snake, kitchen sink clog, bathroom sink clog, trap clean-out</t>
  </si>
  <si>
    <t xml:space="preserve">Hang pictures or wall art</t>
  </si>
  <si>
    <t xml:space="preserve">Hang framed pictures, art or a gallery wall with the right hooks or anchors, levelled and spaced; heavy mirrors are a separate job.</t>
  </si>
  <si>
    <t xml:space="preserve">hang pictures, hang art, gallery wall, picture frames, wall decor, picture hanging, hang frames, wall art</t>
  </si>
  <si>
    <t xml:space="preserve">Hang pictures or art</t>
  </si>
  <si>
    <t xml:space="preserve">Install blinds or shades</t>
  </si>
  <si>
    <t xml:space="preserve">Windows &amp; Blinds</t>
  </si>
  <si>
    <t xml:space="preserve">Mount blinds or shades you already bought (up to 6 windows, cordless or manual, stock sizes) on standard-height ground-floor windows; custom measuring, motorized hardwired shades and tall or stair-landing windows are not included.</t>
  </si>
  <si>
    <t xml:space="preserve">install blinds, hang blinds, window shades, roller shade, cordless blinds, mini blinds, window blinds, shade install</t>
  </si>
  <si>
    <t xml:space="preserve">Replace a dishwasher</t>
  </si>
  <si>
    <t xml:space="preserve">Swap an old built-in dishwasher for a like-for-like unit you provide using the existing shutoff, drain and power connections; an adult helper must be present; new lines, new circuits or cabinet changes are not included; hard stop at 3 hours.</t>
  </si>
  <si>
    <t xml:space="preserve">Like-for-like swap only; no new water, drain or electrical lines; bad shutoff or supply goes to a plumber</t>
  </si>
  <si>
    <t xml:space="preserve">replace dishwasher, install dishwasher, dishwasher swap, new dishwasher, built-in dishwasher, dishwasher install</t>
  </si>
  <si>
    <t xml:space="preserve">Install a smart lock</t>
  </si>
  <si>
    <t xml:space="preserve">Replace an existing deadbolt with a smart lock you provide and pair it to the app; drilling new holes or changing the door is not included.</t>
  </si>
  <si>
    <t xml:space="preserve">Like-for-like deadbolt swap on existing prepared door</t>
  </si>
  <si>
    <t xml:space="preserve">smart lock, keypad lock, Schlage Encode, August lock, electronic deadbolt, keyless entry, smart deadbolt</t>
  </si>
  <si>
    <t xml:space="preserve">Change light bulbs you cannot easily reach</t>
  </si>
  <si>
    <t xml:space="preserve">Replace bulbs you cannot easily reach, up to standard step-ladder height (ceilings about 10 ft or lower), with bulbs you provide; vaulted ceilings, stairwell fixtures and two-story foyers are not included.</t>
  </si>
  <si>
    <t xml:space="preserve">Step-ladder height only</t>
  </si>
  <si>
    <t xml:space="preserve">change light bulb, high ceiling bulb, replace bulbs, LED bulbs, recessed bulb, foyer light, hard to reach bulb</t>
  </si>
  <si>
    <t xml:space="preserve">Unclog a shower or tub drain</t>
  </si>
  <si>
    <t xml:space="preserve">Clear hair and soap-scum clogs from a shower or tub drain by hand, with a drain stick or small snake (one fixture only); main-line backups are not included.</t>
  </si>
  <si>
    <t xml:space="preserve">Hand tools only; main-line backups go to a plumber</t>
  </si>
  <si>
    <t xml:space="preserve">clogged shower, tub drain clog, slow shower drain, hair clog, bathtub drain, unclog tub, shower drain</t>
  </si>
  <si>
    <t xml:space="preserve">Repair or replace a window screen</t>
  </si>
  <si>
    <t xml:space="preserve">Re-screen or replace a damaged window or door screen on a ground-floor or step-ladder-height window with a screen or mesh you provide.</t>
  </si>
  <si>
    <t xml:space="preserve">window screen, screen repair, torn screen, replace screen, rescreen, screen door mesh, hail damaged screen</t>
  </si>
  <si>
    <t xml:space="preserve">Replace a window screen</t>
  </si>
  <si>
    <t xml:space="preserve">Install a wireless security camera</t>
  </si>
  <si>
    <t xml:space="preserve">Mount and set up up to about 3 battery or plug-in security cameras you provide at step-ladder height using existing outlets; wired or PoE runs and new power are not included.</t>
  </si>
  <si>
    <t xml:space="preserve">Battery or plug-in only; no new wiring or PoE runs</t>
  </si>
  <si>
    <t xml:space="preserve">security camera, wireless camera, Ring camera, Blink, Arlo, outdoor camera, camera install, home camera</t>
  </si>
  <si>
    <t xml:space="preserve">Weatherstrip or seal a drafty window</t>
  </si>
  <si>
    <t xml:space="preserve">Add or replace weatherstripping or seals on a drafty window (up to about 6 openings) at ground or step-ladder height; replacing the window is not included.</t>
  </si>
  <si>
    <t xml:space="preserve">Ground-floor or step-ladder reach only</t>
  </si>
  <si>
    <t xml:space="preserve">window weatherstripping, drafty window, window seal, window gap, window insulation, stop window draft</t>
  </si>
  <si>
    <t xml:space="preserve">Clean a dryer vent</t>
  </si>
  <si>
    <t xml:space="preserve">Clear lint from the dryer duct and a short, ground-level or wall-exit vent run to cut fire risk; rooftop terminations, long attic runs and disconnecting gas dryers are not included.</t>
  </si>
  <si>
    <t xml:space="preserve">Accessible wall-exit vents only; no roof access; do not disconnect gas dryers</t>
  </si>
  <si>
    <t xml:space="preserve">dryer vent cleaning, lint, dryer duct, clean dryer vent, dryer not drying, vent hose, lint trap</t>
  </si>
  <si>
    <t xml:space="preserve">Replace smoke or CO alarms</t>
  </si>
  <si>
    <t xml:space="preserve">Replace smoke or carbon monoxide alarms with same-type units you provide in the same locations (up to 4 units; a whole house of 6 or more needs a longer visit); hardwired units only with the matching plug harness; new locations or changed interconnect wiring are not included.</t>
  </si>
  <si>
    <t xml:space="preserve">Like-for-like swap only; no new or changed hardwired interconnect wiring</t>
  </si>
  <si>
    <t xml:space="preserve">smoke detector, smoke alarm, CO detector, carbon monoxide alarm, replace alarm, alarm swap, expired smoke alarm</t>
  </si>
  <si>
    <t xml:space="preserve">Caulk gaps around windows and doors</t>
  </si>
  <si>
    <t xml:space="preserve">Re-caulk gaps around ground-level or step-ladder-height window and door frames, inside or outside (up to about 6 openings); stop if the wood behind is soft; second-story exteriors are not included.</t>
  </si>
  <si>
    <t xml:space="preserve">Ground level or step ladder only; soft or rotted wood goes to a carpenter</t>
  </si>
  <si>
    <t xml:space="preserve">caulk windows, seal gaps, exterior caulk, door frame caulk, window caulk, seal around windows, weather seal</t>
  </si>
  <si>
    <t xml:space="preserve">Hang curtain rods and curtains</t>
  </si>
  <si>
    <t xml:space="preserve">Mount curtain rods and brackets you provide and hang the curtains; custom drapery and motorized tracks are not included.</t>
  </si>
  <si>
    <t xml:space="preserve">curtain rod, hang curtains, drapes, curtain install, window treatment, rod brackets, drapery rod, hang drapes</t>
  </si>
  <si>
    <t xml:space="preserve">Fix an outlet with no power (replace or reset a GFCI)</t>
  </si>
  <si>
    <t xml:space="preserve">Reset a tripped GFCI and, if it will not hold, replace a dead or failed GFCI outlet in the same location on existing wiring, or replace a standard outlet with a GFCI in an existing box; repeated trips or warm outlets go to an electrician; no new outlets or circuits.</t>
  </si>
  <si>
    <t xml:space="preserve">Like-for-like only; no new circuits; repeated breaker or GFCI trips and warm outlets go to an electrician</t>
  </si>
  <si>
    <t xml:space="preserve">GFCI outlet, GFI, outlet no power, reset outlet, bathroom outlet, kitchen outlet, ground fault, replace GFCI</t>
  </si>
  <si>
    <t xml:space="preserve">Fix a gate latch or sagging gate, or replace a few fence pickets</t>
  </si>
  <si>
    <t xml:space="preserve">Outdoors &amp; Other</t>
  </si>
  <si>
    <t xml:space="preserve">Fix a gate latch or hinges or replace a few broken pickets with materials you provide; leaning posts and full panels are not included; also covers tightening hinges and adjusting the latch on a sagging or dragging gate.</t>
  </si>
  <si>
    <t xml:space="preserve">A few pickets or gate hardware only</t>
  </si>
  <si>
    <t xml:space="preserve">gate latch, fence repair, fence picket, gate hinge, sagging gate, broken fence board, fence gate</t>
  </si>
  <si>
    <t xml:space="preserve">Clean gutters and add downspout extensions (single-story reach)</t>
  </si>
  <si>
    <t xml:space="preserve">Clear gutters and downspouts from a standard step ladder on a single-story eave, and attach above-ground downspout extensions or splash blocks you provide to carry roof water away from the foundation; roof access, two-story homes, digging or buried pipe and gutter replacement are not included.</t>
  </si>
  <si>
    <t xml:space="preserve">Single-story eave reachable from a standard step ladder; no roof access; above-ground extensions only</t>
  </si>
  <si>
    <t xml:space="preserve">clean gutters, gutter cleaning, downspout extension, splash block, gutter drainage, roof water, foundation drainage, downspout</t>
  </si>
  <si>
    <t xml:space="preserve">Set up plug-in smart home devices</t>
  </si>
  <si>
    <t xml:space="preserve">Set up and pair up to about 5 plug-in smart devices (smart plugs, bulbs, hubs, speakers, sensors) or a Wi-Fi router or mesh kit with the member's app and network; no hardwired devices or new wiring.</t>
  </si>
  <si>
    <t xml:space="preserve">None; plug-in devices only, no new wiring</t>
  </si>
  <si>
    <t xml:space="preserve">smart home setup, smart plug, hub, smart speaker, Alexa, Google Home, sensors, Wi-Fi setup, router setup, mesh network</t>
  </si>
  <si>
    <t xml:space="preserve">Fix a window that sticks or will not lock</t>
  </si>
  <si>
    <t xml:space="preserve">Free a sticking window or patio-door track, or fix a loose latch or lock, on a ground-floor or step-ladder window; glass and full window replacement are not included.</t>
  </si>
  <si>
    <t xml:space="preserve">sticky window, window won't open, window lock, window latch, window track, stuck window, window balance</t>
  </si>
  <si>
    <t xml:space="preserve">Paint a single door, accent wall or small area</t>
  </si>
  <si>
    <t xml:space="preserve">Paint one interior door, a single accent wall or a small wall section with paint you provide, including prep and two coats; full rooms are not included.</t>
  </si>
  <si>
    <t xml:space="preserve">paint accent wall, paint door, paint small area, repaint wall, painting, paint a door, small paint job</t>
  </si>
  <si>
    <t xml:space="preserve">Replace a bathroom exhaust fan</t>
  </si>
  <si>
    <t xml:space="preserve">Swap a bathroom exhaust fan for a like-for-like one you provide in the same housing from below, using the existing duct and wiring; attic work, duct changes, fan-light combos needing new wiring and roof work are not included.</t>
  </si>
  <si>
    <t xml:space="preserve">Like-for-like only, same housing from below; no new wiring, ducting or attic work</t>
  </si>
  <si>
    <t xml:space="preserve">bathroom fan, exhaust fan, vent fan, bath fan replace, noisy bathroom fan, fan light combo</t>
  </si>
  <si>
    <t xml:space="preserve">Repair or adjust a cabinet door, hinge or drawer</t>
  </si>
  <si>
    <t xml:space="preserve">Tighten, re-hang or adjust sagging cabinet doors, hinges and drawer slides, or free and lubricate a sticking or worn drawer, in a kitchen or bath; refacing or painting cabinets is not included.</t>
  </si>
  <si>
    <t xml:space="preserve">cabinet door, sagging cabinet, cabinet hinge, drawer slide, soft close, loose cabinet, cabinet repair, sticking drawer, worn drawer</t>
  </si>
  <si>
    <t xml:space="preserve">Mount a TV on a brick or masonry wall</t>
  </si>
  <si>
    <t xml:space="preserve">Mount a TV on a brick, stone or other masonry wall using masonry anchors and a bracket you provide, with cables run outside the wall; above-fireplace mounts (heat clearance, in-wall power or cable) and hiding cables in the wall are not included.</t>
  </si>
  <si>
    <t xml:space="preserve">No wiring through walls; step-ladder height only; above-fireplace mounts excluded</t>
  </si>
  <si>
    <t xml:space="preserve">TV mount brick, stone wall TV, masonry TV mount, mount TV concrete, specialty surface TV mount</t>
  </si>
  <si>
    <t xml:space="preserve">Install grab bars</t>
  </si>
  <si>
    <t xml:space="preserve">Mount grab bars you provide into wood studs or rated blocking (rated tile anchors only if there is no stud) at a bath, shower or stairs; refuse if the wall cannot carry load.</t>
  </si>
  <si>
    <t xml:space="preserve">Studs or rated anchors required</t>
  </si>
  <si>
    <t xml:space="preserve">grab bar, shower grab bar, safety bar, bathroom handrail, aging in place, tub grab bar, support bar</t>
  </si>
  <si>
    <t xml:space="preserve">Install a grab bar</t>
  </si>
  <si>
    <t xml:space="preserve">Fix a garage door opener keypad, remote or safety sensor</t>
  </si>
  <si>
    <t xml:space="preserve">Replace remote or keypad batteries, reprogram the keypad or remote, clean and realign the safety sensors, or replace a worn bottom seal. Does not include springs, cables, rails or replacing the opener (high-tension parts go to a garage door specialist).</t>
  </si>
  <si>
    <t xml:space="preserve">None; springs and cables are never Fast Fix (high tension)</t>
  </si>
  <si>
    <t xml:space="preserve">garage door opener, garage remote, garage keypad, safety sensor, garage door will not close, bottom seal, garage door reprogram</t>
  </si>
  <si>
    <t xml:space="preserve">Replace a showerhead</t>
  </si>
  <si>
    <t xml:space="preserve">Swap a showerhead or handheld shower set for one you provide on the existing arm, or replace a worn nozzle washer; does not include the valve behind the wall.</t>
  </si>
  <si>
    <t xml:space="preserve">Threaded swap on existing arm only</t>
  </si>
  <si>
    <t xml:space="preserve">replace showerhead, shower head, handheld shower, rain showerhead, shower install, shower arm, low flow shower</t>
  </si>
  <si>
    <t xml:space="preserve">Baby-proof the home</t>
  </si>
  <si>
    <t xml:space="preserve">Install cabinet latches, outlet covers and corner guards you provide in up to 3 rooms; baby gates and furniture anchoring are separate jobs.</t>
  </si>
  <si>
    <t xml:space="preserve">babyproofing, cabinet locks, outlet covers, child safety, baby proof, drawer latches, safety latches</t>
  </si>
  <si>
    <t xml:space="preserve">Replace a few damaged deck boards</t>
  </si>
  <si>
    <t xml:space="preserve">Replace up to about 5 surface deck boards on a low deck with sound framing, using matching boards you provide; joist, ledger, post, railing and stair repairs are not included.</t>
  </si>
  <si>
    <t xml:space="preserve">A few boards on a low deck with sound framing only; structural work is out</t>
  </si>
  <si>
    <t xml:space="preserve">deck board, replace deck boards, rotted deck, deck repair, deck plank, loose deck board, patio deck</t>
  </si>
  <si>
    <t xml:space="preserve">Fix cracks and nail pops in walls and ceilings</t>
  </si>
  <si>
    <t xml:space="preserve">Screw down and patch popped nails (up to about 10) and fill cosmetic hairline cracks in walls or ceilings, ready for paint; wide, stair-step or door-binding cracks go to a structural opinion first (possible foundation movement).</t>
  </si>
  <si>
    <t xml:space="preserve">Cosmetic cracks only; refer wide, stair-step or door-binding cracks</t>
  </si>
  <si>
    <t xml:space="preserve">nail pops, drywall cracks, wall cracks, ceiling crack, settling cracks, popped nails, crack repair</t>
  </si>
  <si>
    <t xml:space="preserve">Replace a few cracked or loose tiles</t>
  </si>
  <si>
    <t xml:space="preserve">Replace one to three cracked or loose tiles with matching tile you provide, using rapid-set mortar and grout where possible; water-damaged backer board, whole floors and cure-time return visits are not included.</t>
  </si>
  <si>
    <t xml:space="preserve">Small areas only; water-damaged backer board goes to a tile pro</t>
  </si>
  <si>
    <t xml:space="preserve">replace tile, cracked tile, loose tile, broken tile, tile repair, replace ceramic tile</t>
  </si>
  <si>
    <t xml:space="preserve">Unjam or reset a garbage disposal</t>
  </si>
  <si>
    <t xml:space="preserve">Clear a jammed disposal and reset it; replacing the disposal is a separate job.</t>
  </si>
  <si>
    <t xml:space="preserve">disposal jammed, disposal humming, reset disposal, garbage disposal stuck, clear disposal, disposal won't turn</t>
  </si>
  <si>
    <t xml:space="preserve">Rekey a door lock</t>
  </si>
  <si>
    <t xml:space="preserve">Change the pins in an existing lock with a rekey kit so a new key works (up to 3 locks; 30 minutes for the first and 15 for each extra); check local locksmith licensing for TX and CO before offering.</t>
  </si>
  <si>
    <t xml:space="preserve">Locksmith licensing may apply in TX and CO; confirm before offering</t>
  </si>
  <si>
    <t xml:space="preserve">rekey lock, rekey door, change locks, new keys, move in locks, lock rekey, re-key</t>
  </si>
  <si>
    <t xml:space="preserve">Hang holiday lights and set up holiday decor</t>
  </si>
  <si>
    <t xml:space="preserve">Hang holiday lights on porches, bushes and low reachable eaves from a standard step ladder (up to about 100 linear feet, using existing outlets), and set up an artificial tree up to 9 ft or ground-level decor; rooflines, second-story eaves and whole-house jobs are not included.</t>
  </si>
  <si>
    <t xml:space="preserve">Step-ladder reach only; no roof access; existing outlets only</t>
  </si>
  <si>
    <t xml:space="preserve">Christmas lights, holiday lights, hang lights, string lights, porch lights, Christmas tree setup, holiday decor, outdoor holiday lights</t>
  </si>
  <si>
    <t xml:space="preserve">Replace cabinet knobs, pulls or hinges</t>
  </si>
  <si>
    <t xml:space="preserve">Swap cabinet knobs, pulls or hinges for new hardware you provide, using the existing holes where possible; drilling new patterns across many doors may run longer.</t>
  </si>
  <si>
    <t xml:space="preserve">cabinet knobs, cabinet pulls, cabinet handles, drawer pulls, replace cabinet hardware, hinge swap, kitchen hardware</t>
  </si>
  <si>
    <t xml:space="preserve">Replace an interior door in an existing opening</t>
  </si>
  <si>
    <t xml:space="preserve">Swap an interior slab or pre-hung door of the same size into an existing opening with a door you provide, including hinges and latch; resizing, reframing, pocket doors and new openings are not included.</t>
  </si>
  <si>
    <t xml:space="preserve">Existing opening and same size only; no framing changes</t>
  </si>
  <si>
    <t xml:space="preserve">hang door, replace interior door, install door, slab door, prehung door, bedroom door, door swap, new door</t>
  </si>
  <si>
    <t xml:space="preserve">Fix a chirping smoke or CO alarm</t>
  </si>
  <si>
    <t xml:space="preserve">Stop a chirping smoke or CO alarm by replacing its battery (or the alarm if it is past its life) and testing it, for up to 4 alarms at step-ladder reach; no new wiring.</t>
  </si>
  <si>
    <t xml:space="preserve">None; step-ladder reach only</t>
  </si>
  <si>
    <t xml:space="preserve">smoke alarm chirping, beeping smoke detector, smoke detector battery, low battery chirp, CO alarm beeping, replace alarm battery</t>
  </si>
  <si>
    <t xml:space="preserve">Fix a leaking outdoor spigot</t>
  </si>
  <si>
    <t xml:space="preserve">Stop a drip at an outdoor faucet by tightening the packing nut, replacing a washer or screw-on vacuum breaker, or a threaded like-for-like swap; soldered pipe work, cutting pipe and leaks inside the wall are not included.</t>
  </si>
  <si>
    <t xml:space="preserve">Packing nut, washer, vacuum breaker or threaded swap only; soldered, cut or frozen lines go to a plumber</t>
  </si>
  <si>
    <t xml:space="preserve">outdoor spigot, hose bib, outside faucet, garden faucet leak, spigot replace, vacuum breaker, hose faucet</t>
  </si>
  <si>
    <t xml:space="preserve">Fix a dishwasher that leaks or will not drain</t>
  </si>
  <si>
    <t xml:space="preserve">Clear the drain hose, filter or air gap, replace the door gasket, or tighten a connection to stop a leak or standing water; pump, inlet valve and tub-seal repairs are appliance repairs and are not included.</t>
  </si>
  <si>
    <t xml:space="preserve">Seal, filter, hose and connection work only; no pump or valve work</t>
  </si>
  <si>
    <t xml:space="preserve">dishwasher leak, dishwasher not draining, dishwasher door seal, dishwasher filter, standing water dishwasher, drain hose</t>
  </si>
  <si>
    <t xml:space="preserve">Replace a broken window pane</t>
  </si>
  <si>
    <t xml:space="preserve">Replace a single-pane glass in a ground-floor window with cut glass you provide; insulated (double-pane) units, tempered glass, upper floors and lead-painted windows are not included.</t>
  </si>
  <si>
    <t xml:space="preserve">Small single-pane, ground level only; insulated units need a glazier; pre-1978 glazing putty needs lead-safe practices</t>
  </si>
  <si>
    <t xml:space="preserve">broken window, replace glass, window pane, cracked window, single pane, sash glass, glass repair</t>
  </si>
  <si>
    <t xml:space="preserve">Install a closet rod or wire shelving</t>
  </si>
  <si>
    <t xml:space="preserve">Mount a closet rod, one shelf or a wire shelving run you provide; full custom closet systems are not included.</t>
  </si>
  <si>
    <t xml:space="preserve">closet rod, closet shelf, wire shelving, closet organizer, hanging rod, closet shelving, pantry shelving</t>
  </si>
  <si>
    <t xml:space="preserve">Install a closet rod or shelf</t>
  </si>
  <si>
    <t xml:space="preserve">Swap a cracked, loose or worn toilet seat for a like-for-like one you provide; replacing the toilet itself is a separate job.</t>
  </si>
  <si>
    <t xml:space="preserve">toilet seat, replace toilet seat, broken toilet seat, loose toilet seat, soft close seat, toilet lid</t>
  </si>
  <si>
    <t xml:space="preserve">Assemble a desk</t>
  </si>
  <si>
    <t xml:space="preserve">Assemble a desk or standing desk you provide; large multi-piece office suites are not included.</t>
  </si>
  <si>
    <t xml:space="preserve">assemble desk, desk assembly, standing desk, office desk, computer desk, build desk, home office furniture</t>
  </si>
  <si>
    <t xml:space="preserve">Hang a heavy mirror</t>
  </si>
  <si>
    <t xml:space="preserve">Hang a heavy mirror on proper anchors or into studs; very large mirrors may need two people and frameless floor mirrors are not included.</t>
  </si>
  <si>
    <t xml:space="preserve">hang mirror, heavy mirror, wall mirror, mount mirror, large mirror, bathroom mirror, mirror anchors</t>
  </si>
  <si>
    <t xml:space="preserve">Mount and connect a soundbar</t>
  </si>
  <si>
    <t xml:space="preserve">Mount a soundbar or speakers you provide and connect them to the TV with HDMI or optical cables run in the open; in-wall speaker wire, surround runs and full home-theater setup are not included.</t>
  </si>
  <si>
    <t xml:space="preserve">No in-wall wiring</t>
  </si>
  <si>
    <t xml:space="preserve">mount soundbar, speaker mount, soundbar install, TV setup, connect soundbar, hang speakers</t>
  </si>
  <si>
    <t xml:space="preserve">Replace an over-the-range microwave</t>
  </si>
  <si>
    <t xml:space="preserve">Replace an over-the-range microwave like-for-like with a unit you provide, using the existing mounting bracket location, vent and outlet; an adult helper must be present; first-time installs, new venting or a new outlet are not included.</t>
  </si>
  <si>
    <t xml:space="preserve">Like-for-like only; existing outlet, vent and mounting; no new venting or wiring</t>
  </si>
  <si>
    <t xml:space="preserve">over the range microwave, OTR microwave, mount microwave, microwave install, above stove microwave</t>
  </si>
  <si>
    <t xml:space="preserve">Repair or replace a storm or screen door</t>
  </si>
  <si>
    <t xml:space="preserve">Fix a storm or screen door closer, latch or screen (about 60 minutes), or swap a pre-hung storm or screen door of the same size into a square frame (about 120 minutes); custom fitting is not included.</t>
  </si>
  <si>
    <t xml:space="preserve">Standard size, same opening only</t>
  </si>
  <si>
    <t xml:space="preserve">storm door, screen door, door closer, storm door latch, screen door replace, door hardware</t>
  </si>
  <si>
    <t xml:space="preserve">Tighten a loose door knob or handle</t>
  </si>
  <si>
    <t xml:space="preserve">Tighten a loose or wobbly door knob or lever by re-seating the set screws and mounting screws, with thread-seal tape on the spindle if needed; replacing the hardware is a separate job.</t>
  </si>
  <si>
    <t xml:space="preserve">loose door knob, wobbly door handle, door knob falls off, tighten doorknob, set screw, loose lever handle</t>
  </si>
  <si>
    <t xml:space="preserve">Add plug-in night lights or brighter LED bulbs in halls and stairs</t>
  </si>
  <si>
    <t xml:space="preserve">Install plug-in night lights and swap bulbs for brighter LEDs in halls and stairs within step-ladder reach, using existing outlets and fixtures only.</t>
  </si>
  <si>
    <t xml:space="preserve">Plug-in only; no hardwiring</t>
  </si>
  <si>
    <t xml:space="preserve">night light, LED bulbs, hallway lighting, stair lighting, fall prevention, motion light, brighter bulbs</t>
  </si>
  <si>
    <t xml:space="preserve">Assemble a bed frame</t>
  </si>
  <si>
    <t xml:space="preserve">Assemble a bed frame or platform bed you provide; mattress setup and haul-away are not included.</t>
  </si>
  <si>
    <t xml:space="preserve">assemble bed, bed frame, platform bed, bed assembly, build bed, headboard, bunk bed</t>
  </si>
  <si>
    <t xml:space="preserve">Hook up a washer or electric dryer</t>
  </si>
  <si>
    <t xml:space="preserve">Level a washer or electric dryer and connect hoses or plug-in power to existing valves, standpipe, outlet and vent; an adult helper must be present; gas dryers and new lines are not included.</t>
  </si>
  <si>
    <t xml:space="preserve">Existing connections only; no gas, no new lines</t>
  </si>
  <si>
    <t xml:space="preserve">hook up washer, washer install, dryer hookup, connect washing machine, level washer, washer hoses</t>
  </si>
  <si>
    <t xml:space="preserve">Install a towel bar or toilet paper holder</t>
  </si>
  <si>
    <t xml:space="preserve">Mount a towel bar, ring, robe hook, shower rod or toilet paper holder you provide into drywall anchors or studs; not for grab bars.</t>
  </si>
  <si>
    <t xml:space="preserve">towel bar, toilet paper holder, towel ring, bathroom hardware, towel hook, robe hook, shower rod, bath accessories</t>
  </si>
  <si>
    <t xml:space="preserve">Patch siding or exterior nail holes</t>
  </si>
  <si>
    <t xml:space="preserve">Fill nail holes and small holes in siding with color-matched caulk or patch at ground or step-ladder height.</t>
  </si>
  <si>
    <t xml:space="preserve">Ground or step-ladder reach only</t>
  </si>
  <si>
    <t xml:space="preserve">siding repair, exterior patch, siding hole, nail holes, vinyl siding, exterior caulk, patch siding</t>
  </si>
  <si>
    <t xml:space="preserve">Install a window air conditioner</t>
  </si>
  <si>
    <t xml:space="preserve">Install a standard 115V window AC unit you provide in a ground or first-floor standard window with a support bracket and an existing outlet; an adult helper must be present for lifting; 240V units and through-wall sleeves are not included.</t>
  </si>
  <si>
    <t xml:space="preserve">Plug-in 115V unit, existing outlet only</t>
  </si>
  <si>
    <t xml:space="preserve">window AC, window air conditioner, install AC unit, AC bracket, room air conditioner, window unit</t>
  </si>
  <si>
    <t xml:space="preserve">Re-secure a loose handrail or stair tread</t>
  </si>
  <si>
    <t xml:space="preserve">Re-secure a loose interior or ground-level handrail or baluster, or fix a loose or squeaky tread with screws, glue or shims; replacing treads, stringers or newel posts and elevated deck rails are not included.</t>
  </si>
  <si>
    <t xml:space="preserve">Re-securing only; structural stair or rail rebuilds are out</t>
  </si>
  <si>
    <t xml:space="preserve">loose handrail, stair railing, wobbly railing, loose stair tread, banister, stair repair, tighten railing</t>
  </si>
  <si>
    <t xml:space="preserve">Repair or reattach baseboard and trim</t>
  </si>
  <si>
    <t xml:space="preserve">Re-nail, glue or replace a loose or damaged section of baseboard or interior trim with material you provide; full-room trim installs are not included.</t>
  </si>
  <si>
    <t xml:space="preserve">baseboard repair, loose trim, trim reattach, baseboard replace, interior trim, molding repair, crown molding</t>
  </si>
  <si>
    <t xml:space="preserve">Repair a small section of rotted exterior trim</t>
  </si>
  <si>
    <t xml:space="preserve">Replace up to about 4 ft of ground-floor exterior trim or door or window jamb with primed trim you provide, including prime and caulk; rot behind the trim, fascia and upper-story trim are not included.</t>
  </si>
  <si>
    <t xml:space="preserve">Small ground-level section only; pre-1978 homes need lead-safe practices when disturbing paint</t>
  </si>
  <si>
    <t xml:space="preserve">exterior trim, rotted trim, door trim, window trim, wood rot, trim repair, fascia</t>
  </si>
  <si>
    <t xml:space="preserve">Repair cracked or missing grout (small areas)</t>
  </si>
  <si>
    <t xml:space="preserve">Re-grout or caulk cracked or missing grout lines in small areas (up to about 20 sq ft) of a bathroom, kitchen or entry with grout you provide; cure time is on the member and whole floors are not included.</t>
  </si>
  <si>
    <t xml:space="preserve">Small areas only</t>
  </si>
  <si>
    <t xml:space="preserve">grout repair, regrout, cracked grout, missing grout, tile grout, bathroom grout, shower grout</t>
  </si>
  <si>
    <t xml:space="preserve">Fix a dripping shower or tub faucet</t>
  </si>
  <si>
    <t xml:space="preserve">Stop a drip from a shower or tub faucet or spout by replacing the cartridge or stem and trim from the trim side, or swapping a spout or diverter; opening the wall or replacing the valve body is not included.</t>
  </si>
  <si>
    <t xml:space="preserve">Cartridge, stem or trim swap only; valve body or in-wall work goes to a plumber</t>
  </si>
  <si>
    <t xml:space="preserve">dripping shower, leaking tub faucet, shower cartridge, tub spout, diverter, shower leak, shower faucet drip</t>
  </si>
  <si>
    <t xml:space="preserve">Fix a sliding patio door</t>
  </si>
  <si>
    <t xml:space="preserve">Clean and adjust a sliding door that sticks or jumped its track, or replace rollers, lock or handle you provide; an adult helper is needed for roller swaps; heavy glass removal, bent tracks and glazing are not included.</t>
  </si>
  <si>
    <t xml:space="preserve">Adjustment and hardware only; heavy glass needs two people or a glazier</t>
  </si>
  <si>
    <t xml:space="preserve">sliding door, patio door, sliding door roller, door off track, sliding door lock, slider stuck, patio door handle</t>
  </si>
  <si>
    <t xml:space="preserve">Fix a toilet that wobbles or leaks at the base</t>
  </si>
  <si>
    <t xml:space="preserve">Tighten, shim or reset a loose toilet on the existing flange with a new wax ring you provide; a damaged flange, soft floor or a leak that is really from the tank or supply is not included.</t>
  </si>
  <si>
    <t xml:space="preserve">Existing flange in good condition only; damaged flange or subfloor goes to a plumber</t>
  </si>
  <si>
    <t xml:space="preserve">rocking toilet, loose toilet, toilet leaks at base, wax ring, toilet wobble, reseat toilet, toilet bolts</t>
  </si>
  <si>
    <t xml:space="preserve">Winterize outdoor faucets and wrap exposed pipes before a freeze</t>
  </si>
  <si>
    <t xml:space="preserve">Removes hoses, fits insulated spigot covers and wraps accessible exposed pipes (garage and other runs reachable without a ladder) using member-supplied covers and wrap; does not include new lines, valves or fittings, attic or crawlspace work, or repairing a frozen, leaking or burst pipe.</t>
  </si>
  <si>
    <t xml:space="preserve">Member supplies insulated faucet covers and pipe wrap.</t>
  </si>
  <si>
    <t xml:space="preserve">None as scoped: covers and pipe wrap only, no new lines, valves or fittings; any plumbing repair beyond that is out of scope.</t>
  </si>
  <si>
    <t xml:space="preserve">winterize outdoor faucet, spigot cover, hose bib cover, wrap exposed pipes, pipe insulation, freeze protection, freeze prep, prevent frozen pipes</t>
  </si>
  <si>
    <t xml:space="preserve">Install baby gates</t>
  </si>
  <si>
    <t xml:space="preserve">Install hardware-mounted baby gates you provide at stairs or doorways; pressure-mounted gates do not need a visit.</t>
  </si>
  <si>
    <t xml:space="preserve">baby gate, stair gate, child gate, pet gate, hardware mounted gate, safety gate, install gate</t>
  </si>
  <si>
    <t xml:space="preserve">Fill small cracks in concrete (walkway, patio or driveway)</t>
  </si>
  <si>
    <t xml:space="preserve">Fill cracks up to about 1/2 inch in a walkway, patio or driveway with crack filler or patch compound you provide; slab replacement and foundation or slab-on-grade cracks are not included.</t>
  </si>
  <si>
    <t xml:space="preserve">Small cracks only; foundation or slab cracks are referred out</t>
  </si>
  <si>
    <t xml:space="preserve">concrete crack, driveway crack, sidewalk crack, patio crack, crack filler, concrete patch, walkway repair</t>
  </si>
  <si>
    <t xml:space="preserve">Anchor furniture or a TV to the wall</t>
  </si>
  <si>
    <t xml:space="preserve">Anchor dressers, bookcases or TVs to studs with anti-tip hardware you provide; time scales with number of pieces.</t>
  </si>
  <si>
    <t xml:space="preserve">anti-tip, furniture anchor, tip over, secure furniture, wall anchor, TV safety strap, earthquake strap</t>
  </si>
  <si>
    <t xml:space="preserve">Anchor furniture to the wall</t>
  </si>
  <si>
    <t xml:space="preserve">Assemble a dresser, wardrobe or bookcase</t>
  </si>
  <si>
    <t xml:space="preserve">Assemble one dresser, bookcase or wardrobe you provide; a tall multi-door wardrobe may not fit one visit; anchoring to the wall is a separate job.</t>
  </si>
  <si>
    <t xml:space="preserve">assemble dresser, bookcase assembly, wardrobe assembly, bookshelf, chest of drawers, build dresser, cabinet assembly</t>
  </si>
  <si>
    <t xml:space="preserve">Assemble a dresser or bookcase</t>
  </si>
  <si>
    <t xml:space="preserve">Assemble a grill, patio set or exercise equipment</t>
  </si>
  <si>
    <t xml:space="preserve">Assemble a patio set, a charcoal, electric or propane grill (member connects the tank; no gas line), or small to mid-size exercise equipment you provide, up to about 2 hours; large machines needing two people may exceed the visit.</t>
  </si>
  <si>
    <t xml:space="preserve">No gas hookup; propane tank connection by member only</t>
  </si>
  <si>
    <t xml:space="preserve">assemble grill, patio furniture, outdoor furniture assembly, BBQ assembly, patio set, outdoor equipment, treadmill, exercise bike, home gym</t>
  </si>
  <si>
    <t xml:space="preserve">Replace a chandelier or pendant light</t>
  </si>
  <si>
    <t xml:space="preserve">Swap a chandelier or pendant for a like-for-like one you provide on an existing rated box, ceiling about 9 ft or lower; heavy fixtures may need a second person and high ceilings or two-story foyers are not included.</t>
  </si>
  <si>
    <t xml:space="preserve">Like-for-like swap only on an existing rated box; no new wiring or bracing</t>
  </si>
  <si>
    <t xml:space="preserve">chandelier, pendant light, replace chandelier, hanging light, dining room light, pendant install</t>
  </si>
  <si>
    <t xml:space="preserve">Fix a squeaky floor</t>
  </si>
  <si>
    <t xml:space="preserve">Silence a squeaky floor with spot fixes from above (joist-finding screw kit or lubricant); results are not guaranteed and subfloor access from below is not included.</t>
  </si>
  <si>
    <t xml:space="preserve">Spot fixes from above only; no crawlspace work</t>
  </si>
  <si>
    <t xml:space="preserve">squeaky floor, floor squeak, creaky floor, hardwood squeak, floor screws, squeak kit</t>
  </si>
  <si>
    <t xml:space="preserve">Replace an electric stove burner or oven element</t>
  </si>
  <si>
    <t xml:space="preserve">Swap a burner element or oven heating element on a plug-in electric range with a matching part you provide, with the breaker off; gas ranges are not included.</t>
  </si>
  <si>
    <t xml:space="preserve">Plug-in electric ranges only; no gas</t>
  </si>
  <si>
    <t xml:space="preserve">stove burner, oven element, range element, electric stove, bake element, replace burner, oven not heating</t>
  </si>
  <si>
    <t xml:space="preserve">Replace a doorbell button or chime</t>
  </si>
  <si>
    <t xml:space="preserve">Swap a doorbell button or chime unit you provide on existing low-voltage doorbell wiring; transformer swaps and new wiring are not included.</t>
  </si>
  <si>
    <t xml:space="preserve">Existing low-voltage wiring only; no transformer swap or new wiring</t>
  </si>
  <si>
    <t xml:space="preserve">doorbell button, doorbell chime, doorbell not working, replace doorbell, wired doorbell</t>
  </si>
  <si>
    <t xml:space="preserve">Replace a range hood</t>
  </si>
  <si>
    <t xml:space="preserve">Swap a range hood for a like-for-like one you provide using the existing duct and power; an adult helper must be present; new ducting or wiring is not included.</t>
  </si>
  <si>
    <t xml:space="preserve">Like-for-like only; existing duct and power</t>
  </si>
  <si>
    <t xml:space="preserve">range hood, stove hood, vent hood, kitchen hood, exhaust hood replace, cooker hood</t>
  </si>
  <si>
    <t xml:space="preserve">Replace an outdoor porch or wall light</t>
  </si>
  <si>
    <t xml:space="preserve">Swap an existing porch or wall-mounted outdoor light for a like-for-like fixture you provide at step-ladder height on an existing box, with weatherproof sealing; second-story entry lights are not included.</t>
  </si>
  <si>
    <t xml:space="preserve">Like-for-like only; no new wiring; single-story reach</t>
  </si>
  <si>
    <t xml:space="preserve">porch light, outdoor light, wall sconce, exterior light, entry light, replace porch light, garage light</t>
  </si>
  <si>
    <t xml:space="preserve">Take apart and reassemble furniture for a move</t>
  </si>
  <si>
    <t xml:space="preserve">Disassemble furniture for a move or rearrangement and put it back together; hauling and moving are not included.</t>
  </si>
  <si>
    <t xml:space="preserve">disassemble furniture, reassemble furniture, take apart bed, move furniture, dismantle, furniture breakdown</t>
  </si>
  <si>
    <t xml:space="preserve">Repair or restring window blinds</t>
  </si>
  <si>
    <t xml:space="preserve">Repair or restring corded blinds and shades, or replace broken cords, wands or brackets with parts you provide; custom blinds that must be remade are not included.</t>
  </si>
  <si>
    <t xml:space="preserve">broken blinds, restring blinds, blind cord, blind wand, bent slats, blind bracket, repair shades</t>
  </si>
  <si>
    <t xml:space="preserve">Repair or re-string blinds</t>
  </si>
  <si>
    <t xml:space="preserve">Fix a door lock that sticks or will not turn</t>
  </si>
  <si>
    <t xml:space="preserve">Clean and lubricate the cylinder, tighten the set screw, adjust the strike plate or latch, or swap in a matching cylinder. Does not include a key broken off in the lock, lockouts or re-keying a whole house.</t>
  </si>
  <si>
    <t xml:space="preserve">None; lockouts and broken keys go to a locksmith</t>
  </si>
  <si>
    <t xml:space="preserve">lock sticks, key will not turn, stuck deadbolt, jammed lock, door lock issue, stiff lock, strike plate, lock repair</t>
  </si>
  <si>
    <t xml:space="preserve">Stakeholder example (Slack); thin independent evidence</t>
  </si>
  <si>
    <t xml:space="preserve">Diagnose an appliance that is not working</t>
  </si>
  <si>
    <t xml:space="preserve">Check power, settings, filters, hoses, door seals and simple parts on a refrigerator, washer, dryer, dishwasher, oven or microwave and tell the member what is wrong. Does not include repairs that need an appliance technician, sealed-system or control-board work, or any gas work.</t>
  </si>
  <si>
    <t xml:space="preserve">No part needed (diagnosis)</t>
  </si>
  <si>
    <t xml:space="preserve">No gas work; sealed-system, board or gas repairs are referred out</t>
  </si>
  <si>
    <t xml:space="preserve">appliance not working, fridge not cooling, washer will not drain, dryer will not heat, oven will not heat, dishwasher not draining, diagnose appliance, appliance diagnostic</t>
  </si>
  <si>
    <t xml:space="preserve">Row count check</t>
  </si>
  <si>
    <t xml:space="preserve">Typical time, average (min)</t>
  </si>
  <si>
    <t xml:space="preserve">Confidence = High with 6 or more research angles, Medium with 3 to 5, otherwise Low.</t>
  </si>
  <si>
    <t xml:space="preserve">Rank and score are formulas driven by the Evidence sheet and the inputs on "Method &amp; Notes". Rows are listed best-supported first.</t>
  </si>
  <si>
    <t xml:space="preserve">Jobs</t>
  </si>
  <si>
    <t xml:space="preserve">Share of jobs</t>
  </si>
  <si>
    <t xml:space="preserve">Average typical time (min)</t>
  </si>
  <si>
    <t xml:space="preserve">Average score</t>
  </si>
  <si>
    <t xml:space="preserve">Core (A) jobs</t>
  </si>
  <si>
    <t xml:space="preserve">Total</t>
  </si>
  <si>
    <t xml:space="preserve">Check: total equals 100</t>
  </si>
  <si>
    <t xml:space="preserve">Angle</t>
  </si>
  <si>
    <t xml:space="preserve">Angle name</t>
  </si>
  <si>
    <t xml:space="preserve">Source</t>
  </si>
  <si>
    <t xml:space="preserve">URL</t>
  </si>
  <si>
    <t xml:space="preserve">What the source shows</t>
  </si>
  <si>
    <t xml:space="preserve">A</t>
  </si>
  <si>
    <t xml:space="preserve">Thumbtack</t>
  </si>
  <si>
    <t xml:space="preserve">https://www.thumbtack.com/p/drywall-repair-cost</t>
  </si>
  <si>
    <t xml:space="preserve">dedicated drywall repair guide; dent and nail-hole fixes from $75 (snippet)</t>
  </si>
  <si>
    <t xml:space="preserve">Angi</t>
  </si>
  <si>
    <t xml:space="preserve">https://www.angi.com/articles/what-are-common-handyman-prices.htm</t>
  </si>
  <si>
    <t xml:space="preserve">handyman price table lists drywall patch at $120-$350 (snippet)</t>
  </si>
  <si>
    <t xml:space="preserve">Amenify</t>
  </si>
  <si>
    <t xml:space="preserve">https://www.amenify.com/blog/top-handyman-tasks-for-homeowners-in-us</t>
  </si>
  <si>
    <t xml:space="preserve">core services list names drywall repair with touch-up painting (snippet)</t>
  </si>
  <si>
    <t xml:space="preserve">B</t>
  </si>
  <si>
    <t xml:space="preserve">Thimble</t>
  </si>
  <si>
    <t xml:space="preserve">https://www.thimble.com/blog/what-are-the-most-requested-handyman-services</t>
  </si>
  <si>
    <t xml:space="preserve">2026 list from search + customer data: drywall install/repair listed 1st of 7 (snippet)</t>
  </si>
  <si>
    <t xml:space="preserve">Bob Vila</t>
  </si>
  <si>
    <t xml:space="preserve">https://www.bobvila.com/articles/handyman-services-list/</t>
  </si>
  <si>
    <t xml:space="preserve">contractor quoted: drywall repair among most popular requests; one handyman ranks it #1 (snippet)</t>
  </si>
  <si>
    <t xml:space="preserve">C</t>
  </si>
  <si>
    <t xml:space="preserve">OnePoll deferred-repairs survey (InsightDIY)</t>
  </si>
  <si>
    <t xml:space="preserve">https://insightdiy.co.uk/news/us-homeowners-most-likely-to-put-off-painting-over-other-diy-tasks/10838.htm</t>
  </si>
  <si>
    <t xml:space="preserve">Fixing holes in walls: 40% of homeowners put it off, tied for 2nd (snippet)</t>
  </si>
  <si>
    <t xml:space="preserve">D</t>
  </si>
  <si>
    <t xml:space="preserve">Family Handyman: 10 Most Popular Home Repairs for New Homeowners</t>
  </si>
  <si>
    <t xml:space="preserve">https://www.familyhandyman.com/list/most-popular-home-repairs-for-new-homeowners/</t>
  </si>
  <si>
    <t xml:space="preserve">Drywall patching listed #7 of 10 most popular new-homeowner repairs (snippet)</t>
  </si>
  <si>
    <t xml:space="preserve">Lowe's Home Repair Workshops press release (Nov 2023)</t>
  </si>
  <si>
    <t xml:space="preserve">https://corporate.lowes.com/newsroom/press-releases/lowes-debuts-new-way-teach-millennials-how-make-basic-home-repairs-helping-homeowners-build-diy-confidence-and-save-costs-11-10-23</t>
  </si>
  <si>
    <t xml:space="preserve">Workshop topic: patching and repairing drywall (snippet)</t>
  </si>
  <si>
    <t xml:space="preserve">E</t>
  </si>
  <si>
    <t xml:space="preserve">Rental Real Estate handyman blog</t>
  </si>
  <si>
    <t xml:space="preserve">https://rentalrealestate.com/blog/essential-role-of-handyman-in-rental-property-maintenance/</t>
  </si>
  <si>
    <t xml:space="preserve">Patching drywall named among most common rental handyman repairs (snippet)</t>
  </si>
  <si>
    <t xml:space="preserve">F</t>
  </si>
  <si>
    <t xml:space="preserve">Mr. Handyman, Collin County TX (Community Impact)</t>
  </si>
  <si>
    <t xml:space="preserve">https://communityimpact.com/mckinney/business/mr-handyman-of-midwest-collin-county-finds-success-in-full-service-residential-commercial-property-repairs-maintenance/</t>
  </si>
  <si>
    <t xml:space="preserve">Top 3 most-requested at one franchise: doors, drywall, honey-do (single location) (snippet)</t>
  </si>
  <si>
    <t xml:space="preserve">G</t>
  </si>
  <si>
    <t xml:space="preserve">TaskRabbit</t>
  </si>
  <si>
    <t xml:space="preserve">https://www.taskrabbit.com/cost-guides/drywall-repair</t>
  </si>
  <si>
    <t xml:space="preserve">Dedicated drywall repair cost guide; $38/hr average in the U.S. (snippet)</t>
  </si>
  <si>
    <t xml:space="preserve">Fixr</t>
  </si>
  <si>
    <t xml:space="preserve">https://www.fixr.com/costs/repair-drywall</t>
  </si>
  <si>
    <t xml:space="preserve">Dedicated 'repair drywall' cost page, updated January 31, 2025 (snippet)</t>
  </si>
  <si>
    <t xml:space="preserve">Homegnome</t>
  </si>
  <si>
    <t xml:space="preserve">https://homegnome.com/blog/cost/drywall-repair-price/</t>
  </si>
  <si>
    <t xml:space="preserve">Drywall repair price guide; pros range $58-$94 per hour (snippet)</t>
  </si>
  <si>
    <t xml:space="preserve">H</t>
  </si>
  <si>
    <t xml:space="preserve">Thimble blog</t>
  </si>
  <si>
    <t xml:space="preserve">Top requests: drywall installation and repair, gutter cleaning, fixture replacement, patching and painting (snippet)</t>
  </si>
  <si>
    <t xml:space="preserve">Enrich Labs</t>
  </si>
  <si>
    <t xml:space="preserve">https://www.enrichlabs.ai/blog/handyman-marketing-complete-guide-2026</t>
  </si>
  <si>
    <t xml:space="preserve">Drywall patches listed among small jobs handymen bundle with TV mounts, furniture assembly, door hardware (snippet)</t>
  </si>
  <si>
    <t xml:space="preserve">TaskRabbit San Antonio</t>
  </si>
  <si>
    <t xml:space="preserve">https://www.taskrabbit.com/locations/san-antonio/home-improvement</t>
  </si>
  <si>
    <t xml:space="preserve">San Antonio page lists hole patching among common tasks (snippet)</t>
  </si>
  <si>
    <t xml:space="preserve">I</t>
  </si>
  <si>
    <t xml:space="preserve">The Mortgage Reports (summarizing BigRentz study)</t>
  </si>
  <si>
    <t xml:space="preserve">https://themortgagereports.com/57788/how-home-maintenance-savvy-are-you-study-shows-most-americans-need-serious-help</t>
  </si>
  <si>
    <t xml:space="preserve">'how to patch a drywall hole' among the lowest-volume US DIY queries on the list; no figure given; low-demand signal (snippet)</t>
  </si>
  <si>
    <t xml:space="preserve">https://www.thumbtack.com/p/ceiling-fan-install-cost</t>
  </si>
  <si>
    <t xml:space="preserve">dedicated guide: labor about $60-$90, fan not included (snippet)</t>
  </si>
  <si>
    <t xml:space="preserve">https://www.angi.com/articles/how-much-does-ceiling-fan-installation-cost.htm</t>
  </si>
  <si>
    <t xml:space="preserve">dedicated 2026 guide plus city pages, national avg $253 (snippet)</t>
  </si>
  <si>
    <t xml:space="preserve">https://www.taskrabbit.com/cost-guides/ceiling-fan-installation</t>
  </si>
  <si>
    <t xml:space="preserve">dedicated guide: replacement with existing wiring $100-$300 (snippet)</t>
  </si>
  <si>
    <t xml:space="preserve">HomeAdvisor</t>
  </si>
  <si>
    <t xml:space="preserve">https://www.homeadvisor.com/tloc/Smithville-MO/Ceiling-Fan-Install/</t>
  </si>
  <si>
    <t xml:space="preserve">dedicated 'Ceiling Fan Install' cost page exists (snippet)</t>
  </si>
  <si>
    <t xml:space="preserve">WorkWave</t>
  </si>
  <si>
    <t xml:space="preserve">https://insights.workwave.com/industry/handyman/handyman-services-list-to-offer-customers/</t>
  </si>
  <si>
    <t xml:space="preserve">light fixture item (#4 of 21) pairs with installing new ceiling fans (snippet)</t>
  </si>
  <si>
    <t xml:space="preserve">Home Services MSP realtor blog (2012)</t>
  </si>
  <si>
    <t xml:space="preserve">https://homesmsp.com/2012/04/top-5-home-warranty-claims.html</t>
  </si>
  <si>
    <t xml:space="preserve">Ceiling fans listed among commonly claimed warranty items, no % (snippet)</t>
  </si>
  <si>
    <t xml:space="preserve">Bob Vila: 50 Things Every Homeowner Should Know How to Do</t>
  </si>
  <si>
    <t xml:space="preserve">https://www.bobvila.com/slideshow/50-things-every-homeowner-should-know-how-to-do-46782/</t>
  </si>
  <si>
    <t xml:space="preserve">Putting in a ceiling fan appears in the 50-item list (snippet)</t>
  </si>
  <si>
    <t xml:space="preserve">Lula make-ready checklist</t>
  </si>
  <si>
    <t xml:space="preserve">https://lula.life/articles/apartment-make-ready-checklist</t>
  </si>
  <si>
    <t xml:space="preserve">Make-ready scope lists light fixture and ceiling fan replacement (snippet)</t>
  </si>
  <si>
    <t xml:space="preserve">Lowe's lighting and ceiling fan installation</t>
  </si>
  <si>
    <t xml:space="preserve">https://www.lowes.com/l/install/lighting-and-ceiling-fans</t>
  </si>
  <si>
    <t xml:space="preserve">Ceiling fan installation offered; surcharge for ceilings over 15 ft or permits (snippet)</t>
  </si>
  <si>
    <t xml:space="preserve">Home Depot Pro Referral ceiling fan install</t>
  </si>
  <si>
    <t xml:space="preserve">https://www.homedepot.com/services/c/ceiling-fan-installation/5a565a2bf</t>
  </si>
  <si>
    <t xml:space="preserve">Dedicated ceiling fan installation service page (snippet)</t>
  </si>
  <si>
    <t xml:space="preserve">Dedicated ceiling fan installation cost guide; Electrical Help category averages $44/hr (snippet)</t>
  </si>
  <si>
    <t xml:space="preserve">https://www.taskrabbit.com/blog/ceiling-fan-installation-cost/</t>
  </si>
  <si>
    <t xml:space="preserve">Second dedicated TaskRabbit blog guide on ceiling fan installation cost (snippet)</t>
  </si>
  <si>
    <t xml:space="preserve">TaskRabbit Seattle</t>
  </si>
  <si>
    <t xml:space="preserve">https://taskrabbit.com/locations/seattle/ceiling-fan-installation</t>
  </si>
  <si>
    <t xml:space="preserve">Seattle FAQ: ceiling fan installation takes anywhere from 1-3 hours depending on complexity (snippet)</t>
  </si>
  <si>
    <t xml:space="preserve">https://www.homeadvisor.com/cost/heating-and-cooling/install-a-ceiling-fan/</t>
  </si>
  <si>
    <t xml:space="preserve">Dedicated guide; install averages $253, usually between $146 and $360 (snippet)</t>
  </si>
  <si>
    <t xml:space="preserve">HomeGuide</t>
  </si>
  <si>
    <t xml:space="preserve">https://homeguide.com/costs/ceiling-fan-installation-cost</t>
  </si>
  <si>
    <t xml:space="preserve">Dedicated 2026 cost guide for ceiling fan installation (snippet)</t>
  </si>
  <si>
    <t xml:space="preserve">https://www.thumbtack.com/p/fan-installation-cost</t>
  </si>
  <si>
    <t xml:space="preserve">Dedicated fan installation cost page (snippet)</t>
  </si>
  <si>
    <t xml:space="preserve">San Antonio page lists ceiling fan installs among common tasks (snippet)</t>
  </si>
  <si>
    <t xml:space="preserve">EcomCrew Amazon search-term data</t>
  </si>
  <si>
    <t xml:space="preserve">https://products.ecomcrew.com/search-term/ceiling%20fans%20without%20lights</t>
  </si>
  <si>
    <t xml:space="preserve">Amazon 'ceiling fans without lights' ~5,700-33,800 monthly searches 2023-24; product-shopping proxy only (snippet)</t>
  </si>
  <si>
    <t xml:space="preserve">https://www.thumbtack.com/p/lighting-installation-cost</t>
  </si>
  <si>
    <t xml:space="preserve">dedicated light fixture install guide, national avg $200 (snippet)</t>
  </si>
  <si>
    <t xml:space="preserve">https://www.taskrabbit.com/cost-guides/light-installation</t>
  </si>
  <si>
    <t xml:space="preserve">dedicated guide; basic swap 1-2 hrs per fixture, ceiling lights $75-$250 (snippet)</t>
  </si>
  <si>
    <t xml:space="preserve">https://www.angi.com/articles/light-fixture-repair-cost.htm</t>
  </si>
  <si>
    <t xml:space="preserve">dedicated 2026 light fixture repair and replace guide, $150-$700 to replace (snippet)</t>
  </si>
  <si>
    <t xml:space="preserve">fixture replacement listed 3rd of 7 most requested (snippet)</t>
  </si>
  <si>
    <t xml:space="preserve">Handyman Connection</t>
  </si>
  <si>
    <t xml:space="preserve">https://handymanconnection.com/grapevine/2020/09/5-most-common-reasons-to-call-a-handyman</t>
  </si>
  <si>
    <t xml:space="preserve">fixture replacement is #1 of 5 reasons to call a handyman (2020 franchise blog) (snippet)</t>
  </si>
  <si>
    <t xml:space="preserve">light fixture installation is #4 of 21 handyman services (snippet)</t>
  </si>
  <si>
    <t xml:space="preserve">Repair Pricer 15,000-report analysis</t>
  </si>
  <si>
    <t xml:space="preserve">https://www.repairpricer.com/common-repairs-needed-after-home-inspection/</t>
  </si>
  <si>
    <t xml:space="preserve">Fixture or bulb deficiencies 11.79% of 15,000 reports (snippet)</t>
  </si>
  <si>
    <t xml:space="preserve">Bob Vila: 25 Easy Home Repairs You Should Never Pay Someone Else to Make</t>
  </si>
  <si>
    <t xml:space="preserve">https://www.bobvila.com/articles/easy-home-repairs/</t>
  </si>
  <si>
    <t xml:space="preserve">'Old light fixtures' named among relatively easy tasks to do yourself (snippet)</t>
  </si>
  <si>
    <t xml:space="preserve">Hemlane Rent Ready+ repairs</t>
  </si>
  <si>
    <t xml:space="preserve">https://support.hemlane.com/hc/en-us/articles/13155323950221-What-types-of-repairs-does-Hemlane-coordinate-with-the-Rent-Ready-service</t>
  </si>
  <si>
    <t xml:space="preserve">Rent Ready+ lists fixture/switch/receptacle replacement; routed to licensed electricians (snippet)</t>
  </si>
  <si>
    <t xml:space="preserve">TenantCloud complete guide</t>
  </si>
  <si>
    <t xml:space="preserve">https://www.tenantcloud.com/maintenance/the-complete-guide-to-managing-rental-property-maintenance-requests</t>
  </si>
  <si>
    <t xml:space="preserve">Flickering lights named among top electrical request types (snippet)</t>
  </si>
  <si>
    <t xml:space="preserve">Removes old fixture, wires new one to existing box; extra if ceiling over 15 ft (snippet)</t>
  </si>
  <si>
    <t xml:space="preserve">Home Depot Pro Referral light fixture install</t>
  </si>
  <si>
    <t xml:space="preserve">https://www.homedepot.com/services/c/light-fixture-installation/3135f7cf8</t>
  </si>
  <si>
    <t xml:space="preserve">Dedicated light fixture installation service page (snippet)</t>
  </si>
  <si>
    <t xml:space="preserve">https://www.homeadvisor.com/cost/electrical/repair-a-lighting-fixture/</t>
  </si>
  <si>
    <t xml:space="preserve">Dedicated guide; replacing a light fixture typically costs $111-$289 incl. fixture (snippet)</t>
  </si>
  <si>
    <t xml:space="preserve">https://www.taskrabbit.com/blog/cost-to-install-light-fixture</t>
  </si>
  <si>
    <t xml:space="preserve">Dedicated guide 'How Much Does It Cost to Install Light Fixtures?'; $44/hr category average (snippet)</t>
  </si>
  <si>
    <t xml:space="preserve">TaskRabbit Columbus</t>
  </si>
  <si>
    <t xml:space="preserve">https://www.taskrabbit.com/locations/columbus-auburn/light-installation</t>
  </si>
  <si>
    <t xml:space="preserve">Light installation starts at $55/hr; total depends on number of lights and if pre-wired (snippet)</t>
  </si>
  <si>
    <t xml:space="preserve">Fixture replacement named among the most requested handyman services (snippet)</t>
  </si>
  <si>
    <t xml:space="preserve">https://www.angi.com/articles/how-much-should-toilet-repairs-cost.htm</t>
  </si>
  <si>
    <t xml:space="preserve">dedicated 2026 toilet repair guide; valve replacement $50-$150 (snippet)</t>
  </si>
  <si>
    <t xml:space="preserve">https://www.angi.com/articles/plumber-cost.htm</t>
  </si>
  <si>
    <t xml:space="preserve">says plumbers often flat-rate simple jobs like a running toilet (snippet)</t>
  </si>
  <si>
    <t xml:space="preserve">InstaService (Can a Handyman Do Plumbing?)</t>
  </si>
  <si>
    <t xml:space="preserve">https://www.instaservice.com/blog/?p=38212</t>
  </si>
  <si>
    <t xml:space="preserve">result summary: handymen fix running toilets, flapper and fill valve (snippet; attribution inferred)</t>
  </si>
  <si>
    <t xml:space="preserve">Frontdoor YouTube how-to analysis</t>
  </si>
  <si>
    <t xml:space="preserve">https://www.frontdoor.com/blog/lifestyle/diy-home-improvement-and-repair-jobs-we-most-need-help-with</t>
  </si>
  <si>
    <t xml:space="preserve">Toilet repair is the top bathroom DIY help request, 25.5M video views (snippet)</t>
  </si>
  <si>
    <t xml:space="preserve">American Standard / OnePoll DIY poll (video summary)</t>
  </si>
  <si>
    <t xml:space="preserve">https://www.dailymotion.com/video/x87d0sd</t>
  </si>
  <si>
    <t xml:space="preserve">Fixing a running toilet: 31% DIY in the poll; not reproduced on a re-check (snippet)</t>
  </si>
  <si>
    <t xml:space="preserve">Today's Homeowner: DIY projects by state (Google Trends)</t>
  </si>
  <si>
    <t xml:space="preserve">https://todayshomeowner.com/general/guides/diy-home-improvement-projects-by-state/</t>
  </si>
  <si>
    <t xml:space="preserve">'How to fix toilet' tied 3rd in state wins; top US DIY term about 107 weeks, 2018-2023 (snippet)</t>
  </si>
  <si>
    <t xml:space="preserve">Running toilet listed #3 of 10 most popular new-homeowner repairs (listicle) (snippet)</t>
  </si>
  <si>
    <t xml:space="preserve">Lowe's: Common Toilet Problems and How to Fix Them</t>
  </si>
  <si>
    <t xml:space="preserve">https://www.lowes.com/n/how-to/common-toilet-problems</t>
  </si>
  <si>
    <t xml:space="preserve">Dedicated guide: running toilet fixed by new flapper or fill valve (snippet)</t>
  </si>
  <si>
    <t xml:space="preserve">Hemlane (193k requests)</t>
  </si>
  <si>
    <t xml:space="preserve">https://www.hemlane.com/resources/rental-property-maintenance-requests/</t>
  </si>
  <si>
    <t xml:space="preserve">Running toilets named among common plumbing issues; plumbing is #1 category at 25.4% of requests (snippet)</t>
  </si>
  <si>
    <t xml:space="preserve">Avail 15 most-reported issues</t>
  </si>
  <si>
    <t xml:space="preserve">https://www.avail.com/education/articles/most-reported-tenant-maintenance-issues</t>
  </si>
  <si>
    <t xml:space="preserve">'Leaking Faucets/Toilets' in 15 most-reported issues; worn flappers cited; list is unranked (snippet)</t>
  </si>
  <si>
    <t xml:space="preserve">Home Depot Pro Referral toilet repair</t>
  </si>
  <si>
    <t xml:space="preserve">https://www.homedepot.com/services/c/toilet-repair/7d553fd48</t>
  </si>
  <si>
    <t xml:space="preserve">Covers continuously running, gurgling, leaking, cracked-tank toilets (snippet)</t>
  </si>
  <si>
    <t xml:space="preserve">Handy app listing (Apple App Store)</t>
  </si>
  <si>
    <t xml:space="preserve">https://apps.apple.com/app/id604419063</t>
  </si>
  <si>
    <t xml:space="preserve">Plumbing listed incl. toilets, faucets, drains, disposals (snippet)</t>
  </si>
  <si>
    <t xml:space="preserve">HomeTips</t>
  </si>
  <si>
    <t xml:space="preserve">https://www.hometips.com/repair-fix/toilet-repair-costs.html</t>
  </si>
  <si>
    <t xml:space="preserve">Running toilet $100-$300 by plumber; flapper $75-$150, fill valve $100-$200 installed (snippet)</t>
  </si>
  <si>
    <t xml:space="preserve">ShipShape</t>
  </si>
  <si>
    <t xml:space="preserve">https://shipshape.ai/help/troubleshooting/toilet-running</t>
  </si>
  <si>
    <t xml:space="preserve">Troubleshooting page: flapper swap about $5-$10 and 10 minutes (snippet)</t>
  </si>
  <si>
    <t xml:space="preserve">Neuhaus Real Estate</t>
  </si>
  <si>
    <t xml:space="preserve">https://neuhausre.com/how-to-fix-a-running-toilet-austin/</t>
  </si>
  <si>
    <t xml:space="preserve">Austin homeowner guide to fixing a running toilet; flapper parts $8-$12 (snippet)</t>
  </si>
  <si>
    <t xml:space="preserve">Anytime Plumbing</t>
  </si>
  <si>
    <t xml:space="preserve">https://anytimeplumbing.net/?p=962</t>
  </si>
  <si>
    <t xml:space="preserve">Running toilet repair listed at $75-$200 (snippet)</t>
  </si>
  <si>
    <t xml:space="preserve">MoneyTalksNews</t>
  </si>
  <si>
    <t xml:space="preserve">https://www.moneytalksnews.com/steps-to-fix-a-running-toilet-before-it-wastes-hundreds-of-dollars/</t>
  </si>
  <si>
    <t xml:space="preserve">Article: 6 steps to fix a running toilet before it wastes hundreds of dollars (snippet)</t>
  </si>
  <si>
    <t xml:space="preserve">Loopex Digital plumbing keywords</t>
  </si>
  <si>
    <t xml:space="preserve">https://www.loopexdigital.com/blog/plumbing-keywords-seo-ppc</t>
  </si>
  <si>
    <t xml:space="preserve">'how to fix a running toilet' 9,900 monthly searches (US; page updated May 2026) (snippet)</t>
  </si>
  <si>
    <t xml:space="preserve">TaskRabbit blog</t>
  </si>
  <si>
    <t xml:space="preserve">https://www.taskrabbit.com/blog/10-common-handyman-tasks-you-can-outsource-instead-of-trying-to-diy/</t>
  </si>
  <si>
    <t xml:space="preserve">task #3 of '10 common handyman tasks': caulking and sealing (snippet)</t>
  </si>
  <si>
    <t xml:space="preserve">Ace Handyman Services via HelloNation (May 2026 release)</t>
  </si>
  <si>
    <t xml:space="preserve">https://smb.oxfordeagle.com/article/Home-Repair-Expert-Bryan-Harmon-Explains-the-Most-Common-Handyman-Tasks-in-HelloNation/6a08955bd6b3ec3c381af7f9</t>
  </si>
  <si>
    <t xml:space="preserve">names bathroom caulking among its most frequent calls (snippet)</t>
  </si>
  <si>
    <t xml:space="preserve">Housecall Pro</t>
  </si>
  <si>
    <t xml:space="preserve">https://www.housecallpro.com/resources/handyman-contract-template-sample/</t>
  </si>
  <si>
    <t xml:space="preserve">caulking or sealing listed in typical small one-off visits (snippet)</t>
  </si>
  <si>
    <t xml:space="preserve">Waypoint Inspection blog</t>
  </si>
  <si>
    <t xml:space="preserve">https://waypointinspection.com/blog/home-inspection/common-home-inspection-finds/</t>
  </si>
  <si>
    <t xml:space="preserve">Inspector blog: cracked/missing caulk 'extremely common' at sinks, tubs, showers (snippet)</t>
  </si>
  <si>
    <t xml:space="preserve">Bathroom caulking listed #8 of 10 most popular new-homeowner repairs (snippet)</t>
  </si>
  <si>
    <t xml:space="preserve">'How to caulk' tied 3rd among 10 DIY search terms by state wins (snippet)</t>
  </si>
  <si>
    <t xml:space="preserve">'Replace Old Caulk' entry in the 25 easy repairs (snippet)</t>
  </si>
  <si>
    <t xml:space="preserve">Basic caulking listed as typical low-risk rental handyman work (snippet)</t>
  </si>
  <si>
    <t xml:space="preserve">Mr. Handyman, Alexandria VA</t>
  </si>
  <si>
    <t xml:space="preserve">https://www.mrhandyman.com/nova-arlington-to-haymarket/geo/alexandria/</t>
  </si>
  <si>
    <t xml:space="preserve">Bathroom Caulking listed as a service (snippet)</t>
  </si>
  <si>
    <t xml:space="preserve">Honey Homes membership page listing</t>
  </si>
  <si>
    <t xml:space="preserve">https://www.berkeleyparentsnetwork.org/node/417311</t>
  </si>
  <si>
    <t xml:space="preserve">Caulking listed among membership jobs (snippet)</t>
  </si>
  <si>
    <t xml:space="preserve">Home Depot Handiwork</t>
  </si>
  <si>
    <t xml:space="preserve">https://ampservices.homedepot.com/en/home/home-services/handiwork/bathtub-and-shower-recaulking.html</t>
  </si>
  <si>
    <t xml:space="preserve">Home Depot Handiwork sells a dedicated bathtub and shower recaulking service (snippet)</t>
  </si>
  <si>
    <t xml:space="preserve">WBEZ Tools</t>
  </si>
  <si>
    <t xml:space="preserve">https://tools.wbez.org/recaulking-a-bathtub</t>
  </si>
  <si>
    <t xml:space="preserve">How-to page titled 'Recaulking A Bathtub' (snippet)</t>
  </si>
  <si>
    <t xml:space="preserve">Caulk listed among small jobs handyman companies bundle (snippet)</t>
  </si>
  <si>
    <t xml:space="preserve">https://www.thumbtack.com/p/thermostat-replacement-cost</t>
  </si>
  <si>
    <t xml:space="preserve">dedicated thermostat replacement guide; specialist avg $130 (snippet)</t>
  </si>
  <si>
    <t xml:space="preserve">https://www.angi.com/articles/how-much-does-it-cost-install-thermostat.htm</t>
  </si>
  <si>
    <t xml:space="preserve">dedicated 2026 thermostat install guide; pro install avg $184 (snippet)</t>
  </si>
  <si>
    <t xml:space="preserve">Handy</t>
  </si>
  <si>
    <t xml:space="preserve">https://landingpages.services.handy.com/services/p-smart-thermostat-install/washington-dc</t>
  </si>
  <si>
    <t xml:space="preserve">smart thermostat install offered as its own bookable service page (snippet)</t>
  </si>
  <si>
    <t xml:space="preserve">https://www.housecallpro.com/resources/working-in-the-trades/handyman-list-ideas/</t>
  </si>
  <si>
    <t xml:space="preserve">smart home tech covers remote thermostats and video doorbells (snippet)</t>
  </si>
  <si>
    <t xml:space="preserve">HomeServe 2024 homeowner survey</t>
  </si>
  <si>
    <t xml:space="preserve">https://www.homeserve.com/en-us/media/new-homeowner-survey-shows-growing-number-of-homeowners-face-home-repair-emergencies/</t>
  </si>
  <si>
    <t xml:space="preserve">HVAC repair/replace is the most common emergency (26%); thermostats not itemized (snippet)</t>
  </si>
  <si>
    <t xml:space="preserve">Thermostat malfunctions named in HVAC requests; HVAC listed first of four top categories (snippet)</t>
  </si>
  <si>
    <t xml:space="preserve">Best Buy Smart Thermostat Install</t>
  </si>
  <si>
    <t xml:space="preserve">https://www.bestbuy.com/site/smart-thermostat-installation/9525109.p?skuId=9525109</t>
  </si>
  <si>
    <t xml:space="preserve">Priced Geek Squad service, $129.99, est. 55 min; customer supplies unit (snippet)</t>
  </si>
  <si>
    <t xml:space="preserve">Home Depot smart home installation page</t>
  </si>
  <si>
    <t xml:space="preserve">https://www.homedepot.com/services/h/smart-home-installation</t>
  </si>
  <si>
    <t xml:space="preserve">Thermostat installation among six listed smart home services (snippet)</t>
  </si>
  <si>
    <t xml:space="preserve">Pocketsuite</t>
  </si>
  <si>
    <t xml:space="preserve">https://pocketsuite.io/book/mister-ios-llc/items/smart-devices</t>
  </si>
  <si>
    <t xml:space="preserve">Booking listing: smart thermostat install is 1 hour (snippet)</t>
  </si>
  <si>
    <t xml:space="preserve">Canadian Tire</t>
  </si>
  <si>
    <t xml:space="preserve">https://qa4-www.canadiantire.ca/en/home-services/smart-home.html</t>
  </si>
  <si>
    <t xml:space="preserve">Retailer smart home install service lists thermostat install at $119.99 CAD (Canada) (snippet)</t>
  </si>
  <si>
    <t xml:space="preserve">Lifehack (Vocal)</t>
  </si>
  <si>
    <t xml:space="preserve">https://vocal.media/lifehack/the-real-cost-of-building-a-smart-home-a-trade-perspective</t>
  </si>
  <si>
    <t xml:space="preserve">Article puts smart thermostat at $125 to $800+ installed (snippet)</t>
  </si>
  <si>
    <t xml:space="preserve">Talk of the Villages forum</t>
  </si>
  <si>
    <t xml:space="preserve">https://talkofthevillages.com/forums/villages-florida-general-discussion-73/ecobee-smart-thermostat-yale-smart-door-lock-ring-doorbell-help-342069</t>
  </si>
  <si>
    <t xml:space="preserve">Forum thread asking for help with Ecobee thermostat, Yale smart lock and Ring doorbell (snippet)</t>
  </si>
  <si>
    <t xml:space="preserve">Jiffy</t>
  </si>
  <si>
    <t xml:space="preserve">https://intercom.help/jiffy/en/articles/2203108-smart-home-install</t>
  </si>
  <si>
    <t xml:space="preserve">Jiffy sells pro installs of Nest, Ecobee, Ring and August products, billed hourly in 15-minute steps (snippet)</t>
  </si>
  <si>
    <t xml:space="preserve">TaskRabbit Detroit smart home installation</t>
  </si>
  <si>
    <t xml:space="preserve">https://taskrabbit.com/locations/detroit/smart-home-installation</t>
  </si>
  <si>
    <t xml:space="preserve">TaskRabbit has a smart home installation page; its image text references a smart thermostat (snippet)</t>
  </si>
  <si>
    <t xml:space="preserve">seodata.dev (Google Ads API data)</t>
  </si>
  <si>
    <t xml:space="preserve">https://www.seodata.dev/keyword/install-nest-smart-thermostat</t>
  </si>
  <si>
    <t xml:space="preserve">'install nest smart thermostat' 9,900 monthly US searches, CPC $8.57; 'how to install thermostat nest' 4,400 (Jun 2026) (snippet)</t>
  </si>
  <si>
    <t xml:space="preserve">Hook Agency most searched home services</t>
  </si>
  <si>
    <t xml:space="preserve">https://hookagency.com/blog/most-searched-home-services/</t>
  </si>
  <si>
    <t xml:space="preserve">Ranks 'smart home installation' 9th of most-searched home services (2026); category-level, not job-specific (snippet)</t>
  </si>
  <si>
    <t xml:space="preserve">https://www.thumbtack.com/p/door-repair-cost</t>
  </si>
  <si>
    <t xml:space="preserve">dedicated door repair cost guide, national avg $150 (snippet)</t>
  </si>
  <si>
    <t xml:space="preserve">handyman price table lists door adjustment or repair at $75-$220 (snippet)</t>
  </si>
  <si>
    <t xml:space="preserve">fixing door hinges and jambs listed in typical small one-off visits (snippet)</t>
  </si>
  <si>
    <t xml:space="preserve">https://www.homeadvisor.com/tloc/Hindsville-AR/Doors-Repair</t>
  </si>
  <si>
    <t xml:space="preserve">dedicated 'Doors Repair' service page exists, title only (snippet)</t>
  </si>
  <si>
    <t xml:space="preserve">Doors needing adjustment 15.47% of 15,000 reports, #2 defect (snippet)</t>
  </si>
  <si>
    <t xml:space="preserve">Repair Pricer 50,000-report study (PR Newswire)</t>
  </si>
  <si>
    <t xml:space="preserve">https://www.prnewswire.com/news-releases/repair-pricer-inspection-report-reveals-over-a-million-repairs-needed-for-homes-across-the-us-301308868.html</t>
  </si>
  <si>
    <t xml:space="preserve">Doors needing adjustment in about 55% of 50,000 homes; avg fix about $254 (snippet)</t>
  </si>
  <si>
    <t xml:space="preserve">Door repair #1 repair category by how-to video views, 34.38M for top 10 videos (snippet)</t>
  </si>
  <si>
    <t xml:space="preserve">Search Engine Journal on Google 'how to' data (2017)</t>
  </si>
  <si>
    <t xml:space="preserve">https://www.searchenginejournal.com/google-reveals-popular-searches/213648/</t>
  </si>
  <si>
    <t xml:space="preserve">Doors ranked #1 US 'how to fix' item on Google Trends (2017), ahead of windows (snippet)</t>
  </si>
  <si>
    <t xml:space="preserve">Squeaky door is entry #1 in the 25 easy repairs (snippet)</t>
  </si>
  <si>
    <t xml:space="preserve">Bay Property Management Group</t>
  </si>
  <si>
    <t xml:space="preserve">https://www.baymgmtgroup.com/blog/rental-property-repair-costs/</t>
  </si>
  <si>
    <t xml:space="preserve">Door repairs in top-5 every quarter of 2025 (203, 178, 217, 233 requests) (snippet)</t>
  </si>
  <si>
    <t xml:space="preserve">'Sticky Doors/Windows' in 15 most-reported tenant issues (snippet)</t>
  </si>
  <si>
    <t xml:space="preserve">Handyman Connection, Golden CO</t>
  </si>
  <si>
    <t xml:space="preserve">https://handymanconnection.com/golden/</t>
  </si>
  <si>
    <t xml:space="preserve">Door and window repair listed among most requested services (snippet)</t>
  </si>
  <si>
    <t xml:space="preserve">TaskRabbit Denver</t>
  </si>
  <si>
    <t xml:space="preserve">https://www.taskrabbit.com/locations/denver/home-improvement</t>
  </si>
  <si>
    <t xml:space="preserve">Denver tasker profile offers 'Door adjustment or knob and lock replacement' (snippet)</t>
  </si>
  <si>
    <t xml:space="preserve">HD Foundation Repair (DFW)</t>
  </si>
  <si>
    <t xml:space="preserve">https://hdfoundationrepair.com/doors-windows-sticking-foundation-problems-dfw/</t>
  </si>
  <si>
    <t xml:space="preserve">DFW page on doors and windows sticking from clay-soil foundation movement (snippet)</t>
  </si>
  <si>
    <t xml:space="preserve">https://www.thumbtack.com/p/garbage-disposal-installation-cost</t>
  </si>
  <si>
    <t xml:space="preserve">dedicated install guide and separate repair guide; labor $120-$150 (snippet)</t>
  </si>
  <si>
    <t xml:space="preserve">https://www.angi.com/articles/how-much-does-drain-cleaning-cost.htm</t>
  </si>
  <si>
    <t xml:space="preserve">disposal replacement: parts $60-$300 plus at least 2 hrs labor (snippet)</t>
  </si>
  <si>
    <t xml:space="preserve">BuildZoom</t>
  </si>
  <si>
    <t xml:space="preserve">https://www.buildzoom.com/answers/t/can-we-use-a-handyman-to-replace-a-garbage-disposal/1837</t>
  </si>
  <si>
    <t xml:space="preserve">answer: handyman can replace a disposer if no plumbing changes (snippet)</t>
  </si>
  <si>
    <t xml:space="preserve">Home Warranty Association via blog (secondhand)</t>
  </si>
  <si>
    <t xml:space="preserve">https://rosieonthehouse.com/diy/how-can-i-counter-the-need-for-a-home-warranty/</t>
  </si>
  <si>
    <t xml:space="preserve">Garbage disposal failures named a top preventable warranty claim (secondhand) (snippet)</t>
  </si>
  <si>
    <t xml:space="preserve">Garbage disposal in a realtor list of commonly claimed items, no % (snippet)</t>
  </si>
  <si>
    <t xml:space="preserve">Listed #1 of 10; called one of the most common new-homeowner problems (snippet)</t>
  </si>
  <si>
    <t xml:space="preserve">Family Handyman: 23 Home Improvements You Should Never Pay For</t>
  </si>
  <si>
    <t xml:space="preserve">https://www.familyhandyman.com/list/home-improvements-you-should-never-pay-for/</t>
  </si>
  <si>
    <t xml:space="preserve">Servicing or replacing a disposal listed among the 23 jobs (snippet)</t>
  </si>
  <si>
    <t xml:space="preserve">Belong 7 common rental repairs</t>
  </si>
  <si>
    <t xml:space="preserve">https://belonghome.com/blog/7-common-rental-property-repairs</t>
  </si>
  <si>
    <t xml:space="preserve">Garbage disposals one of the 'big seven' common rental repairs (vendor blog) (snippet)</t>
  </si>
  <si>
    <t xml:space="preserve">Oxmaint 15 common issues</t>
  </si>
  <si>
    <t xml:space="preserve">https://oxmaint.com/blog/post/property-maintenance-requests-15-most-common-issues-and-prevention-tips</t>
  </si>
  <si>
    <t xml:space="preserve">Garbage disposals one of 15 common requests (unsourced vendor list) (snippet)</t>
  </si>
  <si>
    <t xml:space="preserve">Lowe's appliance installation</t>
  </si>
  <si>
    <t xml:space="preserve">https://www.lowes.com/l/install/appliances</t>
  </si>
  <si>
    <t xml:space="preserve">Garbage disposals listed among installable appliances (snippet)</t>
  </si>
  <si>
    <t xml:space="preserve">Home Depot plumbing services</t>
  </si>
  <si>
    <t xml:space="preserve">https://www.homedepot.com/services/h/plumbing</t>
  </si>
  <si>
    <t xml:space="preserve">Garbage disposal installation offered (snippet)</t>
  </si>
  <si>
    <t xml:space="preserve">https://homeguide.com/costs/garbage-disposal-installation-cost</t>
  </si>
  <si>
    <t xml:space="preserve">Dedicated guide; labor figures based on 2 hours of labor under ideal conditions (snippet)</t>
  </si>
  <si>
    <t xml:space="preserve">https://www.homeadvisor.com/cost/appliances/garbage-disposal-replacement-cost/</t>
  </si>
  <si>
    <t xml:space="preserve">Dedicated guide; replacement needs about 1 hour when no complications arise (snippet)</t>
  </si>
  <si>
    <t xml:space="preserve">https://www.fixr.com/costs/garbage-disposal-installation</t>
  </si>
  <si>
    <t xml:space="preserve">Dedicated page; assumes $125/hr for 3 hours total on most installations (snippet)</t>
  </si>
  <si>
    <t xml:space="preserve">https://www.thumbtack.com/p/handyman-prices</t>
  </si>
  <si>
    <t xml:space="preserve">handyman price guide sample flat rate: faucet replacement $125 (snippet)</t>
  </si>
  <si>
    <t xml:space="preserve">https://www.taskrabbit.com/cost-guides/general-handyman</t>
  </si>
  <si>
    <t xml:space="preserve">handyman guide places faucet install in the 2-4 hr 'medium' job tier (snippet)</t>
  </si>
  <si>
    <t xml:space="preserve">2026 plumbing table: faucet replacement $150-$600 (snippet)</t>
  </si>
  <si>
    <t xml:space="preserve">faucets named as light plumbing, among most popular requests (snippet)</t>
  </si>
  <si>
    <t xml:space="preserve">InstaService</t>
  </si>
  <si>
    <t xml:space="preserve">https://www.instaservice.com/blog/what-does-a-handyman-do-complete-list-of-handyman-services/</t>
  </si>
  <si>
    <t xml:space="preserve">faucet replacement in common handyman tasks (snippet)</t>
  </si>
  <si>
    <t xml:space="preserve">Faucet/head service in about 55% of homes; swaps not split out from repairs (snippet)</t>
  </si>
  <si>
    <t xml:space="preserve">'Fixing or replacing faucets' is #8 of 23 jobs never to pay for (snippet)</t>
  </si>
  <si>
    <t xml:space="preserve">Retailer chose 'replacing a faucet and fixing drainage' as 1 of 4 launch workshops (snippet)</t>
  </si>
  <si>
    <t xml:space="preserve">MAPCON top requests</t>
  </si>
  <si>
    <t xml:space="preserve">https://www.mapcon.com/blog/2025/06/top-maintenance-requests-and-how-to-handle-them</t>
  </si>
  <si>
    <t xml:space="preserve">Dripping faucets listed under plumbing, the top request type (vendor blog, unranked within) (snippet)</t>
  </si>
  <si>
    <t xml:space="preserve">Lowe's sink and faucet installation</t>
  </si>
  <si>
    <t xml:space="preserve">https://www.lowes.com/l/install/sink-faucet</t>
  </si>
  <si>
    <t xml:space="preserve">Install removes old faucet, adds new faucet and supply lines, hauls away (snippet)</t>
  </si>
  <si>
    <t xml:space="preserve">Home Depot faucet replacement service</t>
  </si>
  <si>
    <t xml:space="preserve">https://www.homedepot.com/services/c/faucet-replacement</t>
  </si>
  <si>
    <t xml:space="preserve">Dedicated faucet replacement service page (snippet)</t>
  </si>
  <si>
    <t xml:space="preserve">https://homeguide.com/costs/faucet-installation-cost</t>
  </si>
  <si>
    <t xml:space="preserve">Dedicated guide; plumbers take 1 hour per faucet, or 2 hours with sink and drain hookup (snippet)</t>
  </si>
  <si>
    <t xml:space="preserve">https://www.thumbtack.com/p/sink-repair-cost</t>
  </si>
  <si>
    <t xml:space="preserve">Dedicated page 'How much will your sink or faucet repair cost?' (snippet)</t>
  </si>
  <si>
    <t xml:space="preserve">https://www.angi.com/articles/plumber-cost-to-fix-leaky-faucet.htm</t>
  </si>
  <si>
    <t xml:space="preserve">dedicated 2026 leaky faucet guide, avg $270 (snippet)</t>
  </si>
  <si>
    <t xml:space="preserve">dedicated 2025 sink and faucet repair cost guide (snippet)</t>
  </si>
  <si>
    <t xml:space="preserve">core services list names faucet leaks and fixture swaps (snippet)</t>
  </si>
  <si>
    <t xml:space="preserve">faucet leak repair is #1 of 21 handyman services (snippet)</t>
  </si>
  <si>
    <t xml:space="preserve">contractor quoted: light plumbing (faucets, leaks) among most popular; one handyman ranks it #3 (snippet)</t>
  </si>
  <si>
    <t xml:space="preserve">Faucets/heads needing service 14.75% of 15,000 reports, #3 defect (snippet)</t>
  </si>
  <si>
    <t xml:space="preserve">Faucet/head service in nearly 55% of 50,000 homes; avg fix about $273 (snippet)</t>
  </si>
  <si>
    <t xml:space="preserve">Leaky faucet listed #2 of 10; article says fixable for under $20 (snippet)</t>
  </si>
  <si>
    <t xml:space="preserve">Lowe's: How to Fix a Leaky Faucet</t>
  </si>
  <si>
    <t xml:space="preserve">https://www.lowes.com/n/how-to/repair-a-leaky-faucet</t>
  </si>
  <si>
    <t xml:space="preserve">Dedicated guide: O-rings, washers, cartridges, aerator cleaning (snippet)</t>
  </si>
  <si>
    <t xml:space="preserve">Bob Vila easy-repair lists (several pages)</t>
  </si>
  <si>
    <t xml:space="preserve">https://www.bobvila.com/diy/diy-home-repairs/</t>
  </si>
  <si>
    <t xml:space="preserve">Clogged faucet aerators listed among easy repairs (snippet)</t>
  </si>
  <si>
    <t xml:space="preserve">Failing faucets named as common plumbing issue; plumbing #1 at 25.4% of 185k categorized requests (snippet)</t>
  </si>
  <si>
    <t xml:space="preserve">'Leaking Faucets/Toilets' in 15 most-reported issues; worn washers cited (snippet)</t>
  </si>
  <si>
    <t xml:space="preserve">ServiceMagic (HomeAdvisor)</t>
  </si>
  <si>
    <t xml:space="preserve">https://www.servicemagic.com/tloc/San-Bernardino-CA/Faucets-Fixtures-and-Pipes-Repair-or-Replace/</t>
  </si>
  <si>
    <t xml:space="preserve">Dedicated category: faucets, fixtures and pipes repair or replace (snippet)</t>
  </si>
  <si>
    <t xml:space="preserve">BigRentz home maintenance study (Ahrefs data)</t>
  </si>
  <si>
    <t xml:space="preserve">https://www.bigrentz.com/blog/home-maintenance-survey</t>
  </si>
  <si>
    <t xml:space="preserve">Top US DIY query 'how to fix a leaky faucet' ~11,000 monthly searches (Ahrefs data, undated) (snippet)</t>
  </si>
  <si>
    <t xml:space="preserve">IFA Magazine (Confused.com Energy UK search analysis)</t>
  </si>
  <si>
    <t xml:space="preserve">https://ifamagazine.com/diy-britain-10-home-repairs-brits-struggle-with-most-from-clogged-toilets-to-changing-bulbs-2/</t>
  </si>
  <si>
    <t xml:space="preserve">UK search ranking lists 'how to fix a leaking tap' in top-10 DIY struggles; no volume given; UK data (snippet)</t>
  </si>
  <si>
    <t xml:space="preserve">https://www.angi.com/articles/how-much-does-it-cost-install-outdoor-outlet.htm</t>
  </si>
  <si>
    <t xml:space="preserve">Angi outlet cost pages cite $75-$485 per outlet replaced (snippet)</t>
  </si>
  <si>
    <t xml:space="preserve">core services list names electrical switches, outlets, lighting (snippet)</t>
  </si>
  <si>
    <t xml:space="preserve">contractor quoted: light electrical (outlets, switches, lights) among most popular; one handyman ranks it #2 (snippet)</t>
  </si>
  <si>
    <t xml:space="preserve">Outlet/switch deficiencies 14.00% of 15,000 reports (snippet)</t>
  </si>
  <si>
    <t xml:space="preserve">Deficient outlets/switches in 53.7% of 50,000 homes; avg fix about $248 (snippet)</t>
  </si>
  <si>
    <t xml:space="preserve">'Replace a failing outlet' is entry #2 of the 25 easy repairs (snippet)</t>
  </si>
  <si>
    <t xml:space="preserve">Workshop topic: replacing outlets and switches (snippet)</t>
  </si>
  <si>
    <t xml:space="preserve">Non-working outlets named among top electrical request types (snippet)</t>
  </si>
  <si>
    <t xml:space="preserve">Home Depot Pro Referral outlet installation</t>
  </si>
  <si>
    <t xml:space="preserve">https://www.homedepot.com/services/c/outlet-installation/dd32342b6</t>
  </si>
  <si>
    <t xml:space="preserve">Dedicated outlet installation service page (snippet)</t>
  </si>
  <si>
    <t xml:space="preserve">https://www.angi.com/articles/cost-replace-27-electrical-outlets.htm</t>
  </si>
  <si>
    <t xml:space="preserve">Dedicated Angi guide 'How Much Does It Cost to Replace an Outlet? [2026 Data]' (snippet)</t>
  </si>
  <si>
    <t xml:space="preserve">https://homeguide.com/costs/cost-to-replace-an-outlet</t>
  </si>
  <si>
    <t xml:space="preserve">Dedicated 2026 guide: cost to replace an electrical outlet (snippet)</t>
  </si>
  <si>
    <t xml:space="preserve">https://www.angi.com/articles/how-much-does-it-cost-install-outlet.htm</t>
  </si>
  <si>
    <t xml:space="preserve">Dedicated Angi guide on cost to install an outlet (snippet)</t>
  </si>
  <si>
    <t xml:space="preserve">'patching and painting' in its most-requested list, listed 4th of 7; ranking method undisclosed (snippet)</t>
  </si>
  <si>
    <t xml:space="preserve">https://www.instaservice.com/blog/?p=38331</t>
  </si>
  <si>
    <t xml:space="preserve">handyman services list includes painting touch-ups (snippet)</t>
  </si>
  <si>
    <t xml:space="preserve">Handoff</t>
  </si>
  <si>
    <t xml:space="preserve">https://handoff.ai/blog/handyman-services-list-the-ultimate-guide</t>
  </si>
  <si>
    <t xml:space="preserve">touch-up painting named as a popular request (snippet)</t>
  </si>
  <si>
    <t xml:space="preserve">M Report (homeowner DIY survey)</t>
  </si>
  <si>
    <t xml:space="preserve">https://themreport.com/?p=7821683</t>
  </si>
  <si>
    <t xml:space="preserve">Painting and drywall fixes were the most common DIY repairs (snippet)</t>
  </si>
  <si>
    <t xml:space="preserve">Peeling paint or cracked siding listed #4 of 10 (snippet)</t>
  </si>
  <si>
    <t xml:space="preserve">Paint touch-ups go to first available handyperson without bids (snippet)</t>
  </si>
  <si>
    <t xml:space="preserve">Sample membership job: touching up paint (snippet)</t>
  </si>
  <si>
    <t xml:space="preserve">Patching and painting, and interior painting, named among top handyman requests (snippet)</t>
  </si>
  <si>
    <t xml:space="preserve">Angi 2024 State of Home Spending</t>
  </si>
  <si>
    <t xml:space="preserve">https://www.globenewswire.com/news-release/2025/01/28/3016441/0/en/Angi-Releases-2024-State-of-Home-Spending-Report.html</t>
  </si>
  <si>
    <t xml:space="preserve">Interior painting among the most popular 2024 home projects (snippet)</t>
  </si>
  <si>
    <t xml:space="preserve">https://www.taskrabbit.com/cost-guides/wall-mount-tv</t>
  </si>
  <si>
    <t xml:space="preserve">dedicated cost guide; standard TV mount avg $150; 1-2 hrs with cable concealment (snippet)</t>
  </si>
  <si>
    <t xml:space="preserve">https://www.thumbtack.com/p/tv-wall-mount-install-cost</t>
  </si>
  <si>
    <t xml:space="preserve">dedicated TV mount install cost guide, national avg $139 (snippet)</t>
  </si>
  <si>
    <t xml:space="preserve">https://www.angi.com/articles/how-much-does-buying-and-repairing-tv-cost.htm</t>
  </si>
  <si>
    <t xml:space="preserve">dedicated 2026 TV mounting cost guide plus many city pages, $150-$347 avg (snippet)</t>
  </si>
  <si>
    <t xml:space="preserve">Jobber</t>
  </si>
  <si>
    <t xml:space="preserve">https://getjobber.com/academy/handyman/handyman-services-list/</t>
  </si>
  <si>
    <t xml:space="preserve">TV mounting named among high-demand jobs with drywall, plumbing, assembly, gutters (snippet)</t>
  </si>
  <si>
    <t xml:space="preserve">wall mounting incl. TVs is item #1 of 10 common handyman tasks (snippet)</t>
  </si>
  <si>
    <t xml:space="preserve">Mounting a wall TV is #2 of the 23 jobs never to pay for (snippet)</t>
  </si>
  <si>
    <t xml:space="preserve">ASINSIGHT Amazon US keyword report: wall tv mount</t>
  </si>
  <si>
    <t xml:space="preserve">https://www.asinsight.com/report/US/wall-tv-mount</t>
  </si>
  <si>
    <t xml:space="preserve">Amazon US 'wall tv mount' about 1,306 weekly searches; shopping intent, third-party tool (snippet)</t>
  </si>
  <si>
    <t xml:space="preserve">Handy, via Washington Times (Nov 2016)</t>
  </si>
  <si>
    <t xml:space="preserve">https://www.washingtontimes.com/news/2016/nov/24/handy-crowdsourced-handyman-service-will-pick-up-o/</t>
  </si>
  <si>
    <t xml:space="preserve">Handy spokesperson: top Thanksgiving-weekend requests incl. mounting TVs (snippet)</t>
  </si>
  <si>
    <t xml:space="preserve">Best Buy TV Basic Mounting 56-90 in</t>
  </si>
  <si>
    <t xml:space="preserve">https://www.bestbuy.com/product/tv-basic-mounting-56-to-90/JCQ6HKTRGY</t>
  </si>
  <si>
    <t xml:space="preserve">Priced standalone service, est. 35 min, customer supplies mount (snippet)</t>
  </si>
  <si>
    <t xml:space="preserve">J</t>
  </si>
  <si>
    <t xml:space="preserve">TaskRabbit (home page)</t>
  </si>
  <si>
    <t xml:space="preserve">https://www.taskrabbit.com/</t>
  </si>
  <si>
    <t xml:space="preserve">US home page counts cumulative tasks: furniture assemblies 3.4M+, items mounted 1M+, home repairs 700K+, moving 1.5M+ (search snippet)</t>
  </si>
  <si>
    <t xml:space="preserve">Sunset on Thumbtack summer 2024 ranking</t>
  </si>
  <si>
    <t xml:space="preserve">https://sunset.com/home-garden/design/most-popular-home-projects-summer-2024</t>
  </si>
  <si>
    <t xml:space="preserve">indoor projects led by interior painting, then furniture assembly and TV mounting (search snippet)</t>
  </si>
  <si>
    <t xml:space="preserve">https://www.thumbtack.com/pa/pittsburgh/wall-hanging-services</t>
  </si>
  <si>
    <t xml:space="preserve">City pages: TV mounting about $100-$130 nationally, usually 1-2 hours (snippet)</t>
  </si>
  <si>
    <t xml:space="preserve">TaskRabbit Dallas</t>
  </si>
  <si>
    <t xml:space="preserve">https://www.taskrabbit.com/locations/dallas/wall-mount-tv</t>
  </si>
  <si>
    <t xml:space="preserve">Dallas TV mounting starts at $45/hr; some Taskers price per TV (1 TV $130) (snippet)</t>
  </si>
  <si>
    <t xml:space="preserve">TV mounts listed first among small jobs specialists skip and handymen bundle (snippet)</t>
  </si>
  <si>
    <t xml:space="preserve">Thumbtack Houston wall hanging</t>
  </si>
  <si>
    <t xml:space="preserve">https://www.thumbtack.com/tx/houston/wall-hanging-services</t>
  </si>
  <si>
    <t xml:space="preserve">Houston TV mount installs from $60; $139 with hidden wires; $179 to $249 over a fireplace (snippet)</t>
  </si>
  <si>
    <t xml:space="preserve">Thumbtack Dallas wall hanging</t>
  </si>
  <si>
    <t xml:space="preserve">https://www.thumbtack.com/tx/dallas/wall-hanging-services</t>
  </si>
  <si>
    <t xml:space="preserve">Dallas TV mount installs start at $65; wall type and concealed wiring raise the price (snippet)</t>
  </si>
  <si>
    <t xml:space="preserve">ASINSIGHT Amazon keyword report: tv wall mount</t>
  </si>
  <si>
    <t xml:space="preserve">https://www.asinsight.com/report/US/tv-wall-mount</t>
  </si>
  <si>
    <t xml:space="preserve">Amazon 'tv wall mount' ~93,871 weekly searches (wk Jul 5-11 2026); product-shopping proxy, not service intent (snippet)</t>
  </si>
  <si>
    <t xml:space="preserve">ASINSIGHT Amazon keyword report: tv mount</t>
  </si>
  <si>
    <t xml:space="preserve">https://www.asinsight.com/report/US/tv-mount</t>
  </si>
  <si>
    <t xml:space="preserve">Amazon 'tv mount' ~53,100 weekly searches in one week of Jul 2026; product-shopping proxy, not service intent (snippet)</t>
  </si>
  <si>
    <t xml:space="preserve">'how to find a stud' ~4,100 monthly US searches, #3 DIY query; indirect demand for mounting prep (snippet)</t>
  </si>
  <si>
    <t xml:space="preserve">https://www.thumbtack.com/p/locksmiths-prices</t>
  </si>
  <si>
    <t xml:space="preserve">locksmith guide: standard new locks about $60-$150 or more (snippet)</t>
  </si>
  <si>
    <t xml:space="preserve">handyman lineup includes installing knobs and locks (snippet)</t>
  </si>
  <si>
    <t xml:space="preserve">Jobber (20-service list)</t>
  </si>
  <si>
    <t xml:space="preserve">https://academy.getjobber.com/handyman-services-list/</t>
  </si>
  <si>
    <t xml:space="preserve">door hardware installation included in 20-service list (snippet)</t>
  </si>
  <si>
    <t xml:space="preserve">Home Depot: Homeowner 101 Indoor Projects</t>
  </si>
  <si>
    <t xml:space="preserve">https://www.homedepot.com/c/alp/diy-workshops-homeowner-101-indoor/sdki-urjk</t>
  </si>
  <si>
    <t xml:space="preserve">Homeowner 101 guides include installing a door lock (snippet)</t>
  </si>
  <si>
    <t xml:space="preserve">Family Handyman: Stop Hiring Out These 10 Home Repairs</t>
  </si>
  <si>
    <t xml:space="preserve">https://www.familyhandyman.com/list/stop-hiring-out-for-these-home-repairs/</t>
  </si>
  <si>
    <t xml:space="preserve">Changing or re-keying locks after moving in is highlighted (snippet)</t>
  </si>
  <si>
    <t xml:space="preserve">Rekey/Locks is 2.5% of requests; fastest median close at 7.9 days (snippet)</t>
  </si>
  <si>
    <t xml:space="preserve">Locks and access control in 7 high-frequency categories (46.9% of 22,354 requests) (snippet)</t>
  </si>
  <si>
    <t xml:space="preserve">Best Buy Smart Door Lock or Deadbolt Install</t>
  </si>
  <si>
    <t xml:space="preserve">https://www.bestbuy.com/site/smart-door-lock-installation/5577861.p?skuId=5577861</t>
  </si>
  <si>
    <t xml:space="preserve">Priced Geek Squad service, $149.99, est. 90 min; customer supplies lock (snippet)</t>
  </si>
  <si>
    <t xml:space="preserve">HomeServe</t>
  </si>
  <si>
    <t xml:space="preserve">https://www.homeserve.com/blog/cost-guide/deadbolt-installation</t>
  </si>
  <si>
    <t xml:space="preserve">Locksmith install $65-$145 per door plus about $25 service fee; pro installs within a couple of hours (snippet)</t>
  </si>
  <si>
    <t xml:space="preserve">https://angi.com/articles/keys-home-locksmith-assistance-and-costs.htm</t>
  </si>
  <si>
    <t xml:space="preserve">Angi locksmith assistance and costs article returned for lock install and rekey query (snippet)</t>
  </si>
  <si>
    <t xml:space="preserve">https://www.taskrabbit.com/blog/ikea-furniture-assembly-cost/</t>
  </si>
  <si>
    <t xml:space="preserve">dedicated IKEA assembly cost guide; avg $164 per booking, $52 minimum (snippet)</t>
  </si>
  <si>
    <t xml:space="preserve">https://www.thumbtack.com/p/furniture-assembly-cost</t>
  </si>
  <si>
    <t xml:space="preserve">dedicated furniture assembly cost guide, national avg $148 (snippet)</t>
  </si>
  <si>
    <t xml:space="preserve">https://www.taskrabbit.com/blog/2024-trend-report/</t>
  </si>
  <si>
    <t xml:space="preserve">2024 trend post names furniture assembly as high demand, $41/hr (snippet)</t>
  </si>
  <si>
    <t xml:space="preserve">furniture assembly is item #1 of top 10 handyman tasks homeowners book (snippet)</t>
  </si>
  <si>
    <t xml:space="preserve">furniture assembly named among high-demand jobs (snippet)</t>
  </si>
  <si>
    <t xml:space="preserve">furniture work incl. IKEA flat-pack is item #2 of 10 (snippet)</t>
  </si>
  <si>
    <t xml:space="preserve">InvoiceFly what a handyman does</t>
  </si>
  <si>
    <t xml:space="preserve">https://invoicefly.com/academy/what-does-a-handyman-do/</t>
  </si>
  <si>
    <t xml:space="preserve">Furniture assembly listed among typical handyman tasks with faucets, fixtures, drywall (snippet)</t>
  </si>
  <si>
    <t xml:space="preserve">Amazon Home Services, via 12onyourside (Nov 2016)</t>
  </si>
  <si>
    <t xml:space="preserve">https://www.12onyourside.com/story/33704059/amazon-home-services-coming-to-richmond/</t>
  </si>
  <si>
    <t xml:space="preserve">Furniture assembly named among most popular services (2016 release as reported) (snippet)</t>
  </si>
  <si>
    <t xml:space="preserve">Handy spokesperson: house cleaning and furniture assembly top Thanksgiving-weekend calls (snippet)</t>
  </si>
  <si>
    <t xml:space="preserve">https://www.taskrabbit.com/services/homary/assemble-furniture</t>
  </si>
  <si>
    <t xml:space="preserve">Furniture assembly typically takes 1-4 hours depending on size and complexity (snippet)</t>
  </si>
  <si>
    <t xml:space="preserve">https://www.taskrabbit.com/blog/wp-json/wp/v2/posts/30853</t>
  </si>
  <si>
    <t xml:space="preserve">IKEA assembly is flat-rate per item, $45-$52 minimum; US average $164 per booking (snippet)</t>
  </si>
  <si>
    <t xml:space="preserve">TaskRabbit Chicago</t>
  </si>
  <si>
    <t xml:space="preserve">https://www.taskrabbit.com/locations/chicago/assemble-ikea-furniture</t>
  </si>
  <si>
    <t xml:space="preserve">Dedicated IKEA assembly page; average furniture assembly about $40/hr (snippet)</t>
  </si>
  <si>
    <t xml:space="preserve">MyBuilder (UK)</t>
  </si>
  <si>
    <t xml:space="preserve">https://www.mybuilder.com/handyman/price-guides/ikea-assembly-cost</t>
  </si>
  <si>
    <t xml:space="preserve">UK guide: IKEA assembly via TaskRabbit costs GBP 38 to 81 per item (snippet)</t>
  </si>
  <si>
    <t xml:space="preserve">San Antonio page lists furniture assembly among common tasks (snippet)</t>
  </si>
  <si>
    <t xml:space="preserve">Furniture assembly listed among small jobs handyman companies bundle (snippet)</t>
  </si>
  <si>
    <t xml:space="preserve">Thumbtack Dallas furniture assembly</t>
  </si>
  <si>
    <t xml:space="preserve">https://www.thumbtack.com/tx/dallas/furniture-assembly</t>
  </si>
  <si>
    <t xml:space="preserve">Dallas page lists 41 furniture assemblers; guidance is $120 to $150 to hire out assembly (snippet)</t>
  </si>
  <si>
    <t xml:space="preserve">MarketKeep 50 Best SEO Keywords for Handyman Services (2024)</t>
  </si>
  <si>
    <t xml:space="preserve">https://marketkeep.com/seo-keywords-for-handyman-services/</t>
  </si>
  <si>
    <t xml:space="preserve">'furniture assembly services' 3,600 avg monthly US searches, medium competition (Keyword Planner, 2024) (snippet)</t>
  </si>
  <si>
    <t xml:space="preserve">handyman price table lists hanging shelves at $150-$500 (snippet)</t>
  </si>
  <si>
    <t xml:space="preserve">homepage promotes 'Mount Art or Shelves' projects starting at $65 (snippet)</t>
  </si>
  <si>
    <t xml:space="preserve">Airtasker</t>
  </si>
  <si>
    <t xml:space="preserve">https://www.airtasker.com/us/costs/handyman/handyman-prices/</t>
  </si>
  <si>
    <t xml:space="preserve">2026 guide: shelves or curtain rods $100-$200 per task (snippet)</t>
  </si>
  <si>
    <t xml:space="preserve">shelf installation listed under small repairs and installations in 21-job list (snippet)</t>
  </si>
  <si>
    <t xml:space="preserve">shelf installation in list of common handyman tasks (snippet)</t>
  </si>
  <si>
    <t xml:space="preserve">'Hanging shelves' appears in the 50-item list (snippet)</t>
  </si>
  <si>
    <t xml:space="preserve">Handy picture hanging and shelf service</t>
  </si>
  <si>
    <t xml:space="preserve">https://orders.handy.com/services/hanging-pictures-shelves</t>
  </si>
  <si>
    <t xml:space="preserve">Shelf installation sold with picture hanging; customer supplies shelves (snippet)</t>
  </si>
  <si>
    <t xml:space="preserve">Home Depot store services page (Tulsa)</t>
  </si>
  <si>
    <t xml:space="preserve">https://www.homedepot.com/l/SW-Tulsa/OK/Tulsa/74137/3915/services</t>
  </si>
  <si>
    <t xml:space="preserve">Shelf Mounting listed under Handyman Services on some store pages (snippet)</t>
  </si>
  <si>
    <t xml:space="preserve">https://www.taskrabbit.com/locations/dallas/shelf-mounting</t>
  </si>
  <si>
    <t xml:space="preserve">Dedicated Dallas shelf installation page; starts around $40/hr, varies by Tasker (snippet)</t>
  </si>
  <si>
    <t xml:space="preserve">TaskRabbit Fort Worth</t>
  </si>
  <si>
    <t xml:space="preserve">https://www.taskrabbit.com/locations/fort-worth/shelf-mounting</t>
  </si>
  <si>
    <t xml:space="preserve">Dedicated Fort Worth shelf installation and mounting page (snippet)</t>
  </si>
  <si>
    <t xml:space="preserve">San Antonio page lists shelf installation among common tasks (snippet)</t>
  </si>
  <si>
    <t xml:space="preserve">Handyman Connection Victoria</t>
  </si>
  <si>
    <t xml:space="preserve">https://handymanconnection.com/victoria/?p=736105</t>
  </si>
  <si>
    <t xml:space="preserve">Blog says floating shelves and filing systems are popular home-office jobs people hire out (snippet)</t>
  </si>
  <si>
    <t xml:space="preserve">https://www.angi.com/articles/how-much-does-installing-exterior-door-cost.htm</t>
  </si>
  <si>
    <t xml:space="preserve">Angi door pricing cites weatherstripping at $10-$50 on exterior doors (snippet)</t>
  </si>
  <si>
    <t xml:space="preserve">Houston realtor blog (HAR)</t>
  </si>
  <si>
    <t xml:space="preserve">https://www.har.com/web/jacoblopez/blogs/146556</t>
  </si>
  <si>
    <t xml:space="preserve">Weather stripping listed among routine Houston inspection findings (snippet)</t>
  </si>
  <si>
    <t xml:space="preserve">Family Handyman: 22 Repairs You May Not Know You Can Do Yourself</t>
  </si>
  <si>
    <t xml:space="preserve">https://www.familyhandyman.com/list/15-diy-repairs-you-may-not-know-you-can-make-yourself/</t>
  </si>
  <si>
    <t xml:space="preserve">Drafts from exterior doors (weatherstripping) listed among the 22 repairs (snippet)</t>
  </si>
  <si>
    <t xml:space="preserve">Installing weatherstripping listed among the 23 jobs (snippet)</t>
  </si>
  <si>
    <t xml:space="preserve">Lowe's: Easy DIY Projects for New Homeowners</t>
  </si>
  <si>
    <t xml:space="preserve">https://www.lowes.com/n/how-to/diy-projects-new-homeowners</t>
  </si>
  <si>
    <t xml:space="preserve">New-homeowner projects include installing door sweeps (snippet)</t>
  </si>
  <si>
    <t xml:space="preserve">Weatherstripping doors and windows advised under windows and doors category (snippet)</t>
  </si>
  <si>
    <t xml:space="preserve">Home Depot Pro Referral door hardware install</t>
  </si>
  <si>
    <t xml:space="preserve">https://www.homedepot.com/services/c/door-hardware-installation/7d3f00689</t>
  </si>
  <si>
    <t xml:space="preserve">Hardware list includes sweeps, hinges, kickplates, peepholes (snippet)</t>
  </si>
  <si>
    <t xml:space="preserve">Mr. Handyman, Hinsdale IL</t>
  </si>
  <si>
    <t xml:space="preserve">https://www.mrhandyman.com/wheaton-hinsdale/geo/hinsdale/</t>
  </si>
  <si>
    <t xml:space="preserve">Door problems handled include air leaks (snippet)</t>
  </si>
  <si>
    <t xml:space="preserve">https://www.homeadvisor.com/cost/doors-and-windows/weatherstripping-replacement-cost</t>
  </si>
  <si>
    <t xml:space="preserve">Dedicated guide; average about $350, most $200-$600; about $125-$400 per door (snippet)</t>
  </si>
  <si>
    <t xml:space="preserve">House Doctors Austin</t>
  </si>
  <si>
    <t xml:space="preserve">https://www.housedoctors.com/austin-tx/blog/categories/handyman-services/preparing-your-home-for-austins-brutal-summer/</t>
  </si>
  <si>
    <t xml:space="preserve">Austin summer prep: check exterior door weatherstripping for light showing around the frame (snippet)</t>
  </si>
  <si>
    <t xml:space="preserve">Mr. Handyman Plano</t>
  </si>
  <si>
    <t xml:space="preserve">https://www.mrhandyman.com/plano/about-us/ask-a-pro/summer-home-prep-repairs-plano/</t>
  </si>
  <si>
    <t xml:space="preserve">Plano page lists weatherstripping among summer home prep repairs a handyman may do (snippet)</t>
  </si>
  <si>
    <t xml:space="preserve">drain cleaning guide: toilet clog typically $110-$275 (snippet)</t>
  </si>
  <si>
    <t xml:space="preserve">Upcover (Australia)</t>
  </si>
  <si>
    <t xml:space="preserve">https://www.upcover.com/blog/most-requested-handyman-services-a-guide-for-success</t>
  </si>
  <si>
    <t xml:space="preserve">plumbing in consistently high demand, incl. unclogging toilets (snippet)</t>
  </si>
  <si>
    <t xml:space="preserve">https://www.homeserve.com/en-us/media/new-homeserve-survey-shows-growing-number-of-homeowners-face-home-repair-emergencies/</t>
  </si>
  <si>
    <t xml:space="preserve">Blocked/overflowing toilet: nearly 20% had one in past year (snippet)</t>
  </si>
  <si>
    <t xml:space="preserve">HomeServe 2020 State of the Home survey</t>
  </si>
  <si>
    <t xml:space="preserve">https://www.homeserve.com/media/biannual-state-of-the-home-survey-spring-2020</t>
  </si>
  <si>
    <t xml:space="preserve">Blocked toilet 13%, blocked sink 10% had an emergency in past year (snippet)</t>
  </si>
  <si>
    <t xml:space="preserve">Bob Vila: 30 Things Every Homeowner Should Know How to Do</t>
  </si>
  <si>
    <t xml:space="preserve">https://www.bobvila.com/slideshow/30-things-every-homeowner-should-know-how-to-do-46782</t>
  </si>
  <si>
    <t xml:space="preserve">'Unclogging toilets' appears in the 30-item homeowner how-to list (snippet)</t>
  </si>
  <si>
    <t xml:space="preserve">This Old House: Easy DIY Plumbing Repairs</t>
  </si>
  <si>
    <t xml:space="preserve">https://www.thisoldhouse.com/plumbing/no-sweat-plumbing-repairs</t>
  </si>
  <si>
    <t xml:space="preserve">Covers plunger technique and toilet auger for clogged toilets (snippet)</t>
  </si>
  <si>
    <t xml:space="preserve">'Clogged Drains &amp; Toilets' in 15 most-reported tenant issues; wipes and buildup cited (snippet)</t>
  </si>
  <si>
    <t xml:space="preserve">iPropertyManagement 11 most requested</t>
  </si>
  <si>
    <t xml:space="preserve">https://ipropertymanagement.com/guides/rental-property-maintenance</t>
  </si>
  <si>
    <t xml:space="preserve">Clogged toilet is 1 of 11 most requested rental repair items (snippet)</t>
  </si>
  <si>
    <t xml:space="preserve">Pro clearing $100-$400; severe blockage $400-$700; plumber $45-$150/hr (snippet)</t>
  </si>
  <si>
    <t xml:space="preserve">Most minor toilet clogs fall between $50 and $100 (snippet)</t>
  </si>
  <si>
    <t xml:space="preserve">UK: 'how to unblock toilet' ranked #1 DIY search, ~33,950 avg monthly searches (UK data, not US) (snippet)</t>
  </si>
  <si>
    <t xml:space="preserve">https://www.angi.com/articles/how-much-does-it-cost-replace-light-switch.htm</t>
  </si>
  <si>
    <t xml:space="preserve">dedicated 2026 guide; dimmer switch install $80-$200 (snippet)</t>
  </si>
  <si>
    <t xml:space="preserve">Bark</t>
  </si>
  <si>
    <t xml:space="preserve">https://www.bark.com/en/us/handyman/new-york/</t>
  </si>
  <si>
    <t xml:space="preserve">NY handyman results mention outlet and switch replacement (snippet)</t>
  </si>
  <si>
    <t xml:space="preserve">answer says handymen can do small electrical jobs like switches and outlets (snippet)</t>
  </si>
  <si>
    <t xml:space="preserve">Light switches (dimmers, three-way) listed among the 22 repairs (snippet)</t>
  </si>
  <si>
    <t xml:space="preserve">Electrical is #5 category at 8.4% of requests (category level only) (snippet)</t>
  </si>
  <si>
    <t xml:space="preserve">Dimmer and light switch installation among six listed smart home services (snippet)</t>
  </si>
  <si>
    <t xml:space="preserve">Lowe's smart home installation (store page)</t>
  </si>
  <si>
    <t xml:space="preserve">https://lowes.com/store/2833-show-low-az/smart-home-installation</t>
  </si>
  <si>
    <t xml:space="preserve">Installs smart lighting with voice assistants; add install at checkout (snippet)</t>
  </si>
  <si>
    <t xml:space="preserve">https://www.thumbtack.com/p/toilet-installation-cost</t>
  </si>
  <si>
    <t xml:space="preserve">dedicated toilet installation cost guide, national avg $175 (snippet)</t>
  </si>
  <si>
    <t xml:space="preserve">result summary: handymen repair or replace toilets (snippet; attribution inferred)</t>
  </si>
  <si>
    <t xml:space="preserve">Toilet repair is the top bathroom help request; replacement not itemized (snippet)</t>
  </si>
  <si>
    <t xml:space="preserve">Workshop topic: repair, replace or unclog a toilet (snippet)</t>
  </si>
  <si>
    <t xml:space="preserve">Lowe's bathroom installation</t>
  </si>
  <si>
    <t xml:space="preserve">https://lowes.com/l/install/bathroom</t>
  </si>
  <si>
    <t xml:space="preserve">Bathroom installs cover toilet, vanity, sink, faucet, shower door (snippet)</t>
  </si>
  <si>
    <t xml:space="preserve">Sink, garbage disposal and toilet installation offered (snippet)</t>
  </si>
  <si>
    <t xml:space="preserve">Sample membership job: replacing toilets (snippet)</t>
  </si>
  <si>
    <t xml:space="preserve">San Antonio page lists toilet and washer replacement among common tasks (snippet)</t>
  </si>
  <si>
    <t xml:space="preserve">https://www.angi.com/articles/cost-to-repair-leaking-pipe.htm</t>
  </si>
  <si>
    <t xml:space="preserve">dedicated 2026 pipe leak repair cost guide (snippet)</t>
  </si>
  <si>
    <t xml:space="preserve">https://www.angi.com/articles/hire-handyman-complete-your-honey-do-list.htm</t>
  </si>
  <si>
    <t xml:space="preserve">handyperson to-do list includes fixing leaky pipes (snippet)</t>
  </si>
  <si>
    <t xml:space="preserve">contractor quoted: light plumbing (faucets, leaks, exterior spigots) most popular (snippet)</t>
  </si>
  <si>
    <t xml:space="preserve">Leaking water pipes: 9% had an emergency in past year; not fixture-specific (snippet)</t>
  </si>
  <si>
    <t xml:space="preserve">Minor plumbing leaks listed among routine Houston inspection findings (snippet)</t>
  </si>
  <si>
    <t xml:space="preserve">Fixing leaking pipes and minor plumbing leaks both listed (snippet)</t>
  </si>
  <si>
    <t xml:space="preserve">Leaky P-traps listed among easy repairs (snippet)</t>
  </si>
  <si>
    <t xml:space="preserve">Multifamily Insiders forum</t>
  </si>
  <si>
    <t xml:space="preserve">https://www.multifamilyinsiders.com/apartment-ideas/apartment-maintenance/10457-most-common-service-requests</t>
  </si>
  <si>
    <t xml:space="preserve">Leaks under kitchen and bath sinks named by property managers (forum, anecdotal) (snippet)</t>
  </si>
  <si>
    <t xml:space="preserve">Water leaks listed among common plumbing issues; plumbing #1 at 25.4% (snippet)</t>
  </si>
  <si>
    <t xml:space="preserve">Dedicated category covers faucet, fixture and pipe repair (snippet)</t>
  </si>
  <si>
    <t xml:space="preserve">Getjobber</t>
  </si>
  <si>
    <t xml:space="preserve">calls door hardware installation a popular upgrade; contractor blog (snippet)</t>
  </si>
  <si>
    <t xml:space="preserve">Door repair is the top DIY repair category; knob and lock swaps not itemized (snippet)</t>
  </si>
  <si>
    <t xml:space="preserve">Door repairs in top-5 repair categories in every quarter of 2025 (snippet)</t>
  </si>
  <si>
    <t xml:space="preserve">Property Task Masters turnover services</t>
  </si>
  <si>
    <t xml:space="preserve">https://property-task-masters.lovable.app/turnover-services</t>
  </si>
  <si>
    <t xml:space="preserve">Door, lock, knob and hardware replacement on a make-ready service list (snippet)</t>
  </si>
  <si>
    <t xml:space="preserve">Replacing hardware $75-150; most installs under an hour (snippet)</t>
  </si>
  <si>
    <t xml:space="preserve">Door hardware listed among small jobs handyman companies bundle (snippet)</t>
  </si>
  <si>
    <t xml:space="preserve">https://www.angi.com/articles/home-repair-services-handyman-will-do.htm</t>
  </si>
  <si>
    <t xml:space="preserve">says calling a handyperson suits changing an air filter (snippet)</t>
  </si>
  <si>
    <t xml:space="preserve">Swapping air filters: 36% of 2,000 homeowners DIY (snippet)</t>
  </si>
  <si>
    <t xml:space="preserve">Changing furnace filters appears in the 50-item list (snippet)</t>
  </si>
  <si>
    <t xml:space="preserve">New-homeowner guide lists regularly replacing air filters (snippet)</t>
  </si>
  <si>
    <t xml:space="preserve">Hexa renter guide</t>
  </si>
  <si>
    <t xml:space="preserve">https://hexapm.com/apartment-maintenance-requests/</t>
  </si>
  <si>
    <t xml:space="preserve">Tenant keeps central-system filter clean; filter checks in preventative request list (snippet)</t>
  </si>
  <si>
    <t xml:space="preserve">RentRedi maintenance blog</t>
  </si>
  <si>
    <t xml:space="preserve">https://rentredi.com/blog/property-maintenance</t>
  </si>
  <si>
    <t xml:space="preserve">Dirty air filters listed among frequent rental repair issues (vendor blog) (snippet)</t>
  </si>
  <si>
    <t xml:space="preserve">Sample membership job: changing air filters (snippet)</t>
  </si>
  <si>
    <t xml:space="preserve">Austin guidance: change air filter monthly in peak summer; flush the condensate drain line (snippet)</t>
  </si>
  <si>
    <t xml:space="preserve">https://www.angi.com/articles/cost-install-smart-doorbell.htm</t>
  </si>
  <si>
    <t xml:space="preserve">dedicated 2026 doorbell camera install guide, $50-$600, avg $300 (snippet)</t>
  </si>
  <si>
    <t xml:space="preserve">https://www.angi.com/articles/doorbell-installation-cost.htm</t>
  </si>
  <si>
    <t xml:space="preserve">separate doorbell installation guide; wired $175-$375 (snippet)</t>
  </si>
  <si>
    <t xml:space="preserve">video doorbells cited under smart home technology services (snippet)</t>
  </si>
  <si>
    <t xml:space="preserve">Best Buy Video Doorbell Install</t>
  </si>
  <si>
    <t xml:space="preserve">https://www.bestbuy.com/site/video-doorbell-install/5732321.p?skuId=5732321</t>
  </si>
  <si>
    <t xml:space="preserve">Priced Geek Squad service, $149.99, est. 60 min (snippet)</t>
  </si>
  <si>
    <t xml:space="preserve">Doorbell installation among six listed smart home services (snippet)</t>
  </si>
  <si>
    <t xml:space="preserve">https://www.bobvila.com/articles/doorbell-installation-cost.md</t>
  </si>
  <si>
    <t xml:space="preserve">Cites Angi: doorbell install averages $300 (range $250-$400); smart doorbells may cost more (snippet)</t>
  </si>
  <si>
    <t xml:space="preserve">Video doorbell install listed at 1 hour; smart doorbell with install $149.99 (snippet)</t>
  </si>
  <si>
    <t xml:space="preserve">https://www.homeadvisor.com/tloc/Bordentown-NJ/Doorbell-Security-Camera-Installation-Install-or-Repair-Electrical-Switches-and-Outlets</t>
  </si>
  <si>
    <t xml:space="preserve">Dedicated pro category: doorbell and security camera installation (snippet)</t>
  </si>
  <si>
    <t xml:space="preserve">Doorbell install listed at $119.99 CAD in retailer smart home services (snippet)</t>
  </si>
  <si>
    <t xml:space="preserve">Parks Associates</t>
  </si>
  <si>
    <t xml:space="preserve">https://www.parksassociates.com/blogs/in-the-news/video-doorbell-adoption-rises-to-20-in-us?page=8</t>
  </si>
  <si>
    <t xml:space="preserve">Projected 22% of US internet households own a video doorbell by end of 2023 (snippet)</t>
  </si>
  <si>
    <t xml:space="preserve">Consumer Reports</t>
  </si>
  <si>
    <t xml:space="preserve">https://www.consumerreports.org/smart-home/smart-home-tech-upgrades-to-help-sell-your-house/</t>
  </si>
  <si>
    <t xml:space="preserve">Most video doorbells are fairly easy to install; hardwired needs doorbell wiring, battery models skip it (snippet)</t>
  </si>
  <si>
    <t xml:space="preserve">dedicated drain cleaning guide plus many city pages, $147-$352 (snippet)</t>
  </si>
  <si>
    <t xml:space="preserve">Clogged drains listed #9 of 10 most popular new-homeowner repairs (snippet)</t>
  </si>
  <si>
    <t xml:space="preserve">Lowe's: Unclog a Sink, Shower or Tub Drain</t>
  </si>
  <si>
    <t xml:space="preserve">https://lowes.com/n/how-to/household-drain-problems</t>
  </si>
  <si>
    <t xml:space="preserve">Dedicated guide: stopper cleaning, drain stick, plunger, baking soda and vinegar (snippet)</t>
  </si>
  <si>
    <t xml:space="preserve">Slow drains named among common plumbing issues; no separate count given (snippet)</t>
  </si>
  <si>
    <t xml:space="preserve">Drain and pipe clogs in top-5 repair categories in every quarter of 2025 (22,354 requests) (snippet)</t>
  </si>
  <si>
    <t xml:space="preserve">Angi (Wayback 2022)</t>
  </si>
  <si>
    <t xml:space="preserve">https://webcf.waybackmachine.org/web/20220415173606/https://www.angi.com/nearme/plumbers</t>
  </si>
  <si>
    <t xml:space="preserve">Angi page titled 'How Much Does It Cost to Unclog a Drain?' (2022 archive) (snippet)</t>
  </si>
  <si>
    <t xml:space="preserve">https://www.thumbtack.com/p/plumbers-cost</t>
  </si>
  <si>
    <t xml:space="preserve">Page 'How much will your plumbing drain repair cost?' (snippet)</t>
  </si>
  <si>
    <t xml:space="preserve">'how to unclog a drain' ~7,200 monthly US searches, #2 DIY query (BigRentz/Ahrefs); generic drain, not sink-specific (snippet)</t>
  </si>
  <si>
    <t xml:space="preserve">Emulent plumbing SEO keywords</t>
  </si>
  <si>
    <t xml:space="preserve">https://emulent.com/resources/plumbing-seo-keywords-that-increase-service-calls</t>
  </si>
  <si>
    <t xml:space="preserve">'clogged drain' 6,600 monthly US searches in a plumbing keyword table; generic drain, not sink-specific (snippet)</t>
  </si>
  <si>
    <t xml:space="preserve">https://www.taskrabbit.com/services/mounting</t>
  </si>
  <si>
    <t xml:space="preserve">mounting page covers shelves, mirrors, artwork; one frame 15-30 min (snippet)</t>
  </si>
  <si>
    <t xml:space="preserve">https://www.handy.com/services/hanging-pictures-shelves</t>
  </si>
  <si>
    <t xml:space="preserve">dedicated 'hanging pictures and shelves' service page (snippet)</t>
  </si>
  <si>
    <t xml:space="preserve">https://www.thumbtack.com/k/picture-hanging/near-me</t>
  </si>
  <si>
    <t xml:space="preserve">dedicated picture hanging category page (snippet)</t>
  </si>
  <si>
    <t xml:space="preserve">https://www.bobvila.com/articles/what-does-a-handyman-do.md</t>
  </si>
  <si>
    <t xml:space="preserve">hanging artwork or shelving described as typical handyman work (snippet)</t>
  </si>
  <si>
    <t xml:space="preserve">TV mounting and picture hanging grouped under common indoor handyman work (snippet)</t>
  </si>
  <si>
    <t xml:space="preserve">DIY Week: The nation's most Googled DIY questions (UK)</t>
  </si>
  <si>
    <t xml:space="preserve">https://www.diyweek.net/the-nations-most-googled-diy-questions</t>
  </si>
  <si>
    <t xml:space="preserve">UK: 'how to hang a picture frame' in a Safestyle top-10 Google ranking (UK data) (snippet)</t>
  </si>
  <si>
    <t xml:space="preserve">Dedicated service page; customer supplies the frames and shelves (snippet)</t>
  </si>
  <si>
    <t xml:space="preserve">TaskRabbit help center</t>
  </si>
  <si>
    <t xml:space="preserve">https://support.taskrabbit.com/hc/en-us/articles/360052736472-Which-Task-Categories-Should-I-Add-To-My-Profile</t>
  </si>
  <si>
    <t xml:space="preserve">General mounting listed among current top categories (undated page) (snippet)</t>
  </si>
  <si>
    <t xml:space="preserve">Thumbtack Georgia pro</t>
  </si>
  <si>
    <t xml:space="preserve">https://next-www.thumbtack.com/ga/cumming/picture-hanging/sedgwick/service/408578192316022788</t>
  </si>
  <si>
    <t xml:space="preserve">Picture hanging pro lists $15 per picture hanger, $55 service call incl. most hardware (snippet)</t>
  </si>
  <si>
    <t xml:space="preserve">Thumbtack Frisco</t>
  </si>
  <si>
    <t xml:space="preserve">https://www.thumbtack.com/tx/frisco/picture-hanging</t>
  </si>
  <si>
    <t xml:space="preserve">Thumbtack has a Frisco, TX picture hanging professional category page (snippet)</t>
  </si>
  <si>
    <t xml:space="preserve">https://www.thumbtack.com/p/blind-installation-cost</t>
  </si>
  <si>
    <t xml:space="preserve">dedicated guide: $180-$300 avg install, $30-$50 per blind (snippet)</t>
  </si>
  <si>
    <t xml:space="preserve">https://www.angi.com/articles/how-much-does-it-cost-install-blinds-or-shades/tx/dallas</t>
  </si>
  <si>
    <t xml:space="preserve">dedicated blinds install guide with city pages incl. Dallas and Denver (snippet)</t>
  </si>
  <si>
    <t xml:space="preserve">https://www.taskrabbit.com/locations/austin/blinds-installation</t>
  </si>
  <si>
    <t xml:space="preserve">dedicated Austin curtain and blinds installation page (snippet)</t>
  </si>
  <si>
    <t xml:space="preserve">https://www.bobvila.com/articles/hiring-a-handyman-near-me.md</t>
  </si>
  <si>
    <t xml:space="preserve">installing shades listed as a handyman job (snippet)</t>
  </si>
  <si>
    <t xml:space="preserve">window treatments listed as a handyman service (snippet)</t>
  </si>
  <si>
    <t xml:space="preserve">Avail wear and tear</t>
  </si>
  <si>
    <t xml:space="preserve">https://www.avail.com/education/articles/wear-and-tear-what-is-fair</t>
  </si>
  <si>
    <t xml:space="preserve">Broken or missing blinds named as wear and damage examples in rentals (snippet)</t>
  </si>
  <si>
    <t xml:space="preserve">Home Depot home services index</t>
  </si>
  <si>
    <t xml:space="preserve">https://www.homedepot.com/services/</t>
  </si>
  <si>
    <t xml:space="preserve">Blinds Installation listed under Windows and Doors, with a cost guide (snippet)</t>
  </si>
  <si>
    <t xml:space="preserve">Handy window treatments install</t>
  </si>
  <si>
    <t xml:space="preserve">https://orders.handy.com/services/install-window-treatments</t>
  </si>
  <si>
    <t xml:space="preserve">Curtain and blind installers marketed as specialists (snippet)</t>
  </si>
  <si>
    <t xml:space="preserve">https://www.taskrabbit.com/cost-guides/blinds-installation</t>
  </si>
  <si>
    <t xml:space="preserve">Dedicated guide; $38/hr average; simple roller blinds 15-30 minutes per window (snippet)</t>
  </si>
  <si>
    <t xml:space="preserve">https://homeguide.com/costs/window-treatment-cost</t>
  </si>
  <si>
    <t xml:space="preserve">Window treatment cost guide; labor ranges from $20 to $250 by type and size (snippet)</t>
  </si>
  <si>
    <t xml:space="preserve">ServiceTitan</t>
  </si>
  <si>
    <t xml:space="preserve">https://www.servicetitan.com/blog/handyman-services-list</t>
  </si>
  <si>
    <t xml:space="preserve">customers prefer a handyman with basic electrical skill for fans and dishwashers (snippet)</t>
  </si>
  <si>
    <t xml:space="preserve">Built-in dishwasher listed among top home warranty claims, no % (2012) (snippet)</t>
  </si>
  <si>
    <t xml:space="preserve">Dishwasher malfunctions named a top preventable warranty claim (secondhand) (snippet)</t>
  </si>
  <si>
    <t xml:space="preserve">Appliance installation is 1 of 10 top request categories (vendor blog, unranked) (snippet)</t>
  </si>
  <si>
    <t xml:space="preserve">Best Buy standalone dishwasher install</t>
  </si>
  <si>
    <t xml:space="preserve">https://www.bestbuy.com/site/dishwasher-installation/6254166.p?skuId=6254166</t>
  </si>
  <si>
    <t xml:space="preserve">Priced install, $209.99; new install kit required (snippet)</t>
  </si>
  <si>
    <t xml:space="preserve">Dishwashers listed among installable appliances (snippet)</t>
  </si>
  <si>
    <t xml:space="preserve">https://homeguide.com/costs/dishwasher-installation-cost</t>
  </si>
  <si>
    <t xml:space="preserve">Dedicated guide; same-spot swap labor $200-$500, new install labor $300-$1,300 (snippet)</t>
  </si>
  <si>
    <t xml:space="preserve">https://www.homeadvisor.com/tloc/Valrico-FL/Dishwasher-Repair-or-Install/</t>
  </si>
  <si>
    <t xml:space="preserve">HomeAdvisor has a dedicated dishwasher repair or install pro category (snippet)</t>
  </si>
  <si>
    <t xml:space="preserve">https://www.thumbtack.com/k/smart-lock-installation-and-repair/near-me</t>
  </si>
  <si>
    <t xml:space="preserve">dedicated smart lock installation and repair category page (snippet)</t>
  </si>
  <si>
    <t xml:space="preserve">locksmith guide: advanced lock systems about $100-$500 (snippet)</t>
  </si>
  <si>
    <t xml:space="preserve">smart home upgrades listed as a handyman service (snippet)</t>
  </si>
  <si>
    <t xml:space="preserve">Door lock installation among six listed smart home services (snippet)</t>
  </si>
  <si>
    <t xml:space="preserve">Freedonia</t>
  </si>
  <si>
    <t xml:space="preserve">https://www.freedoniagroup.com/smart-home-security.html</t>
  </si>
  <si>
    <t xml:space="preserve">Forecast: smart locks fastest-growing smart security segment, about 24% a year to $2.0B in 2025 (snippet)</t>
  </si>
  <si>
    <t xml:space="preserve">Suggests a smart lock that replaces only the interior thumb turn to save installation time (snippet)</t>
  </si>
  <si>
    <t xml:space="preserve">'8 Handyman Jobs' lists changing light bulbs under basic electrical (snippet)</t>
  </si>
  <si>
    <t xml:space="preserve">Replacing light bulbs: 43% of 2,000 homeowners DIY, top item (snippet)</t>
  </si>
  <si>
    <t xml:space="preserve">UK: 'how to change a lightbulb' 9th in a Safestyle Google ranking (UK data) (snippet)</t>
  </si>
  <si>
    <t xml:space="preserve">Light bulb replacement ranked #1 by one manager, #2 by another (forum, anecdotal) (snippet)</t>
  </si>
  <si>
    <t xml:space="preserve">Light bulb replacements listed as a routine request type (snippet)</t>
  </si>
  <si>
    <t xml:space="preserve">Burned-out lightbulbs listed among frequent rental repairs (vendor blog) (snippet)</t>
  </si>
  <si>
    <t xml:space="preserve">UK: 'changing light bulbs' in top-10 DIY struggles, ~3,500 monthly searches; not reach-specific; UK data (snippet)</t>
  </si>
  <si>
    <t xml:space="preserve">Bob Vila: 15 Quick Home Repairs Everyone Should Know How to Do</t>
  </si>
  <si>
    <t xml:space="preserve">https://www.bobvila.com/diy/quick-repair/</t>
  </si>
  <si>
    <t xml:space="preserve">'Unclog a Shower Drain' entry in the 15 quick repairs (snippet)</t>
  </si>
  <si>
    <t xml:space="preserve">Dedicated guide title covers sink, shower and tub drains (snippet)</t>
  </si>
  <si>
    <t xml:space="preserve">Slow drains ranked #2 by one manager, mainly hair buildup (forum, anecdotal) (snippet)</t>
  </si>
  <si>
    <t xml:space="preserve">Drain and pipe clogs in top-5 repair categories in every quarter of 2025 (snippet)</t>
  </si>
  <si>
    <t xml:space="preserve">'how to unclog a drain' ~7,200 monthly US searches, #2 DIY query (BigRentz/Ahrefs); generic drain, not shower-specific (snippet)</t>
  </si>
  <si>
    <t xml:space="preserve">'clogged drain' 6,600 monthly US searches in a plumbing keyword table; generic drain, not shower-specific (snippet)</t>
  </si>
  <si>
    <t xml:space="preserve">https://www.thumbtack.com/p/window-screen-replacement-cost</t>
  </si>
  <si>
    <t xml:space="preserve">dedicated 2025 window screen replacement guide; a pro lists small screens at $35 (snippet)</t>
  </si>
  <si>
    <t xml:space="preserve">screen installation and repair included in 20-service list (snippet)</t>
  </si>
  <si>
    <t xml:space="preserve">Window screens listed among the 22 repairs (snippet)</t>
  </si>
  <si>
    <t xml:space="preserve">Replacing window screens is #23 of the 23 jobs (snippet)</t>
  </si>
  <si>
    <t xml:space="preserve">Doors and windows in 7 high-frequency categories (46.9% of 22,354 requests) (snippet)</t>
  </si>
  <si>
    <t xml:space="preserve">Screens damaged by rough handling cited as a rental damage example (snippet)</t>
  </si>
  <si>
    <t xml:space="preserve">https://www.angi.com/companylist/us/fl/lighthouse-point/window-screen-repair.htm</t>
  </si>
  <si>
    <t xml:space="preserve">Angi has a dedicated window screen repair pro list page (snippet)</t>
  </si>
  <si>
    <t xml:space="preserve">https://www.angi.com/articles/how-much-does-it-cost-install-home-security-system.htm</t>
  </si>
  <si>
    <t xml:space="preserve">dedicated 2026 security system installation cost guide (snippet)</t>
  </si>
  <si>
    <t xml:space="preserve">https://www.thumbtack.com/p/home-security-system-cost</t>
  </si>
  <si>
    <t xml:space="preserve">dedicated home security system cost guide (snippet)</t>
  </si>
  <si>
    <t xml:space="preserve">Installs security cameras, thermostats, smart lighting (snippet)</t>
  </si>
  <si>
    <t xml:space="preserve">Camera-and-doorbell package listed at $300 for one doorbell and one camera (snippet)</t>
  </si>
  <si>
    <t xml:space="preserve">Pro category pairs doorbell and security camera installation (snippet)</t>
  </si>
  <si>
    <t xml:space="preserve">https://www.thumbtack.com/p/window-repair-cost</t>
  </si>
  <si>
    <t xml:space="preserve">calls weather stripping and fresh caulking the simplest fix for drafty windows (snippet)</t>
  </si>
  <si>
    <t xml:space="preserve">Redfin new-construction inspection article</t>
  </si>
  <si>
    <t xml:space="preserve">https://www.redfin.com/blog/new-construction-home-inspections-are-they-really-necessary/</t>
  </si>
  <si>
    <t xml:space="preserve">Drafty doors/windows named in a new-home issues survey, no % seen (snippet)</t>
  </si>
  <si>
    <t xml:space="preserve">Weatherproofing and sealing drafts listed under preventative requests (snippet)</t>
  </si>
  <si>
    <t xml:space="preserve">Dedicated weatherstripping guide; per-unit figure about $50 for a window (snippet)</t>
  </si>
  <si>
    <t xml:space="preserve">Austin summer prep: caulk around windows where they meet siding or brick to seal air gaps (snippet)</t>
  </si>
  <si>
    <t xml:space="preserve">handyperson to-do list includes clearing dryer vents (snippet)</t>
  </si>
  <si>
    <t xml:space="preserve">Cleaning dryer vents: 36% of 2,000 homeowners DIY (snippet)</t>
  </si>
  <si>
    <t xml:space="preserve">Dryer vents covered; cites 3,000 US dryer fires per year from lint (snippet)</t>
  </si>
  <si>
    <t xml:space="preserve">Propertese 2026 maintenance checklist</t>
  </si>
  <si>
    <t xml:space="preserve">https://propertese.com/blog/property-management-maintenance-checklist-complete-guide-for-2026/</t>
  </si>
  <si>
    <t xml:space="preserve">Checklist recommends cleaning dryer vents quarterly; no request-volume data (snippet)</t>
  </si>
  <si>
    <t xml:space="preserve">Dryer vent cleaning listed among membership jobs (snippet)</t>
  </si>
  <si>
    <t xml:space="preserve">Rebuilding Together AFF (Fairfax County)</t>
  </si>
  <si>
    <t xml:space="preserve">https://www.fairfaxcounty.gov/familyservices/older-adults/golden-gazette/2024-04-rebuilding-together-aff-neighbors-helping-neighbors-live-in-homes-that-are-safe-and-healthy</t>
  </si>
  <si>
    <t xml:space="preserve">Fixes fire hazards such as clogged dryer ducts (snippet)</t>
  </si>
  <si>
    <t xml:space="preserve">https://www.angi.com/articles/smoke-detector-installation-cost.htm</t>
  </si>
  <si>
    <t xml:space="preserve">dedicated 2026 smoke detector install guide; $70-$150 per unit (snippet)</t>
  </si>
  <si>
    <t xml:space="preserve">Smoke alarm deficiencies 10.62% of 15,000 reports (snippet)</t>
  </si>
  <si>
    <t xml:space="preserve">Almost half of 50,000 homes lacked a functioning smoke alarm (snippet)</t>
  </si>
  <si>
    <t xml:space="preserve">New-homeowner guide lists installing smoke and CO detectors (snippet)</t>
  </si>
  <si>
    <t xml:space="preserve">Smoke detectors and batteries listed first of 11 most requested rental items (snippet)</t>
  </si>
  <si>
    <t xml:space="preserve">Rebuilding Together North Jersey (211 listing)</t>
  </si>
  <si>
    <t xml:space="preserve">https://search.nj211.org/search/b37dfd19-7aee-5424-a63c-2542f8845c55</t>
  </si>
  <si>
    <t xml:space="preserve">Program covers smoke and CO detector installation (one affiliate; page attribution uncertain) (snippet)</t>
  </si>
  <si>
    <t xml:space="preserve">caulking and sealing is item #3 of 10 handyman tasks (snippet)</t>
  </si>
  <si>
    <t xml:space="preserve">Missing exterior caulk/sealant was #1 defect, 16.26% of 15,000 reports (snippet)</t>
  </si>
  <si>
    <t xml:space="preserve">Over half of 50,000 homes lacked exterior caulk/sealant; avg fix about $310 (snippet)</t>
  </si>
  <si>
    <t xml:space="preserve">Caulking repairs listed among routine Houston inspection findings (snippet)</t>
  </si>
  <si>
    <t xml:space="preserve">Handyman Connection, Kelowna BC</t>
  </si>
  <si>
    <t xml:space="preserve">https://handymanconnection.com/kelowna/</t>
  </si>
  <si>
    <t xml:space="preserve">Franchise page names caulking windows among examples (snippet)</t>
  </si>
  <si>
    <t xml:space="preserve">Austin summer prep: caulk where windows meet siding or brick; caulk exterior trim before storm season (snippet)</t>
  </si>
  <si>
    <t xml:space="preserve">Plano page lists fence repair, weatherstripping and caulking as work a Texas handyman may do (snippet)</t>
  </si>
  <si>
    <t xml:space="preserve">Taskers mount curtain rods under item #1, wall mounting; hanging curtains and blinds in the post's list (snippet)</t>
  </si>
  <si>
    <t xml:space="preserve">dedicated Austin curtain and blinds page, avg $62/hr (snippet)</t>
  </si>
  <si>
    <t xml:space="preserve">2026 guide groups curtain rods with shelves, $100-$200 per task (snippet)</t>
  </si>
  <si>
    <t xml:space="preserve">Lowe's: Gallery Walls, Curtains &amp; Other Tool-Free DIYs</t>
  </si>
  <si>
    <t xml:space="preserve">https://www.lowes.com/n/ideas-inspiration/home-improvement-without-tools</t>
  </si>
  <si>
    <t xml:space="preserve">Lowe's guide title covers curtains and tool-free DIYs (title only) (snippet)</t>
  </si>
  <si>
    <t xml:space="preserve">Dedicated service for curtains and blinds; review shows ~30 min job (snippet)</t>
  </si>
  <si>
    <t xml:space="preserve">Customer: two workers re-hung two curtain rods in about 1.5 hours for $40 (snippet)</t>
  </si>
  <si>
    <t xml:space="preserve">https://www.airtasker.com/us/handyman/curtain-blinds-fitters/price/curtain-and-blind-installation-cost</t>
  </si>
  <si>
    <t xml:space="preserve">Dedicated 'curtain and blind installation cost' page (snippet)</t>
  </si>
  <si>
    <t xml:space="preserve">Pro prices $50 per bracket/curtain rod, bathroom accessories, shelving (snippet)</t>
  </si>
  <si>
    <t xml:space="preserve">Fort Worth shelf mounting page: Taskers mention curtain rods (snippet)</t>
  </si>
  <si>
    <t xml:space="preserve">Missing GFCI protection 12.41% of 15,000 reports (snippet)</t>
  </si>
  <si>
    <t xml:space="preserve">Pennsylvania Association of Realtors (Repair Pricer 50,000 study)</t>
  </si>
  <si>
    <t xml:space="preserve">https://www.parealtors.org/blog/what-are-the-most-common-repairs-that-show-up-in-home-inspections/</t>
  </si>
  <si>
    <t xml:space="preserve">About 48% of 50,000 homes lacked GFCI protection (another summary says over a third) (snippet)</t>
  </si>
  <si>
    <t xml:space="preserve">Harbert Group Houston checklist 2026</t>
  </si>
  <si>
    <t xml:space="preserve">https://www.harbertgroup.com/blog/943/Houston+Home+Inspection+Checklist+2026%3A+What+Sellers+Should+Fix+First</t>
  </si>
  <si>
    <t xml:space="preserve">Houston: installing missing outlets $150-$400, avoids $500-$1,500 credit ask (snippet)</t>
  </si>
  <si>
    <t xml:space="preserve">This Old House: 35 Super-Fast Fixes and Easy Upgrades (quick-fix pages)</t>
  </si>
  <si>
    <t xml:space="preserve">https://www.thisoldhouse.com/21017718/35-super-fast-fixes-and-easy-upgrades</t>
  </si>
  <si>
    <t xml:space="preserve">GFCI test with lamp and test button; replace if it stays dead (snippet)</t>
  </si>
  <si>
    <t xml:space="preserve">Lula rental maintenance</t>
  </si>
  <si>
    <t xml:space="preserve">https://lula.life/articles/rental-property-maintenance-management</t>
  </si>
  <si>
    <t xml:space="preserve">Tripped breakers/GFCIs/overloaded circuits behind a big share of no-power calls (vendor) (snippet)</t>
  </si>
  <si>
    <t xml:space="preserve">Monthly GFCI testing advised under electrical prevention (unsourced vendor list) (snippet)</t>
  </si>
  <si>
    <t xml:space="preserve">https://www.homeadvisor.com/cost/electrical/gfci-outlet-cost/</t>
  </si>
  <si>
    <t xml:space="preserve">Dedicated page 'How Much Does a GFCI Outlet Cost to Install?' (snippet)</t>
  </si>
  <si>
    <t xml:space="preserve">https://homeguide.com/costs/gfci-outlet-cost</t>
  </si>
  <si>
    <t xml:space="preserve">Dedicated 2026 guide to install or replace a GFCI outlet (snippet)</t>
  </si>
  <si>
    <t xml:space="preserve">https://homeguide.com/costs/electrical-outlet-repair-cost</t>
  </si>
  <si>
    <t xml:space="preserve">Dedicated 2026 guide: electrical outlet repair cost (snippet)</t>
  </si>
  <si>
    <t xml:space="preserve">https://www.angi.com/articles/electrical-outlet-repair-cost.htm</t>
  </si>
  <si>
    <t xml:space="preserve">Dedicated Angi guide: Electrical Outlet Repair Cost [2026 Data] (snippet)</t>
  </si>
  <si>
    <t xml:space="preserve">fence and gate repair listed as a handyman service (snippet)</t>
  </si>
  <si>
    <t xml:space="preserve">fence repair named a frequent request, no ranking; one franchise owner (May 2026 release) (snippet)</t>
  </si>
  <si>
    <t xml:space="preserve">Handyman Connection, Parker CO</t>
  </si>
  <si>
    <t xml:space="preserve">https://handymanconnection.com/parker/services/handyman-carpentry/</t>
  </si>
  <si>
    <t xml:space="preserve">Carpentry page names fixing a stubborn gate latch (snippet)</t>
  </si>
  <si>
    <t xml:space="preserve">WealthNorth</t>
  </si>
  <si>
    <t xml:space="preserve">https://wealthnorth.ca/mortgages/property-types/home-maintenance-checklist-by-season/</t>
  </si>
  <si>
    <t xml:space="preserve">Maintenance checklist: pro fence repair $300-$1,000, DIY $50-$200 (snippet)</t>
  </si>
  <si>
    <t xml:space="preserve">Mr. Handyman Katy/Houston</t>
  </si>
  <si>
    <t xml:space="preserve">https://mrhandyman.com/cinco-ranch-south-katy-west-houston/handyman-services/exterior/fence-repair</t>
  </si>
  <si>
    <t xml:space="preserve">Katy and west Houston page advertises gate latch replacement, dragging-gate repair, picket replacement (snippet)</t>
  </si>
  <si>
    <t xml:space="preserve">This Old House</t>
  </si>
  <si>
    <t xml:space="preserve">https://www.thisoldhouse.com/?p=67853</t>
  </si>
  <si>
    <t xml:space="preserve">Guide: remove damaged picket, cut a matching one, screw to gate frame with deck screws (snippet)</t>
  </si>
  <si>
    <t xml:space="preserve">Plano page lists fence repair as work a Texas handyman may do (snippet)</t>
  </si>
  <si>
    <t xml:space="preserve">Thumbtack Houston gate repair</t>
  </si>
  <si>
    <t xml:space="preserve">https://www.thumbtack.com/tx/houston/gate-repair</t>
  </si>
  <si>
    <t xml:space="preserve">Thumbtack runs a Houston gate repair technician category (snippet)</t>
  </si>
  <si>
    <t xml:space="preserve">Top Rail Fences</t>
  </si>
  <si>
    <t xml:space="preserve">https://toprailfences.com/?p=5285</t>
  </si>
  <si>
    <t xml:space="preserve">Sagging fence gate is among the most common homeowner issues; hinge screws loosen over time (snippet)</t>
  </si>
  <si>
    <t xml:space="preserve">Katy and west Houston page advertises dragging-gate repair and gate latch replacement (snippet)</t>
  </si>
  <si>
    <t xml:space="preserve">names gutters among high-demand handyman jobs (snippet)</t>
  </si>
  <si>
    <t xml:space="preserve">ActiveRain NJ inspector post</t>
  </si>
  <si>
    <t xml:space="preserve">https://activerain.com/blogsview/5936195/nj-home-inspector--the-15-problems-i-find-during-almost-every-home-inspection</t>
  </si>
  <si>
    <t xml:space="preserve">NJ inspector, 8,000+ inspections: downspouts discharging too close to house is #2 (snippet)</t>
  </si>
  <si>
    <t xml:space="preserve">InterNACHI-hosted inspector survey</t>
  </si>
  <si>
    <t xml:space="preserve">https://www.nachi.org/ten-problems-hhenews.htm</t>
  </si>
  <si>
    <t xml:space="preserve">Improper grading/drainage most frequent problem, 35.8% of inspectors surveyed (snippet)</t>
  </si>
  <si>
    <t xml:space="preserve">Poor lot drainage 10.50% of 15,000 reports (snippet)</t>
  </si>
  <si>
    <t xml:space="preserve">AOL</t>
  </si>
  <si>
    <t xml:space="preserve">https://www.aol.com/lifestyle/much-does-cost-prep-home-155640898.html</t>
  </si>
  <si>
    <t xml:space="preserve">Holiday-prep article lists gutter cleaning at $240, no range or location (snippet)</t>
  </si>
  <si>
    <t xml:space="preserve">Gutter cleaning named among the most requested handyman services (snippet)</t>
  </si>
  <si>
    <t xml:space="preserve">Austin summer prep: gutter cleaning recommended before storm season (snippet)</t>
  </si>
  <si>
    <t xml:space="preserve">San Antonio page lists gutter repair among common tasks (repair, not cleaning) (snippet)</t>
  </si>
  <si>
    <t xml:space="preserve">2024 trend post lists smart home installs as high demand, $56/hr (snippet)</t>
  </si>
  <si>
    <t xml:space="preserve">https://www.angi.com/articles/how-much-does-home-automation-cost.htm</t>
  </si>
  <si>
    <t xml:space="preserve">dedicated 2026 smart home system cost guide (snippet)</t>
  </si>
  <si>
    <t xml:space="preserve">smart home installs named among highest-earning handyman services (snippet)</t>
  </si>
  <si>
    <t xml:space="preserve">Amazon Services page (2022 archive)</t>
  </si>
  <si>
    <t xml:space="preserve">https://webcf.waybackmachine.org/web/20221112055919/https://www.amazon.com/services</t>
  </si>
  <si>
    <t xml:space="preserve">Archived page offers Smart Home installation and setup services (snippet)</t>
  </si>
  <si>
    <t xml:space="preserve">Best Buy Smart Home Setup and Installation</t>
  </si>
  <si>
    <t xml:space="preserve">https://www.bestbuy.com/site/smart-home-security-services/smart-home-setup-installation/pcmcat1553538789739.c?id=pcmcat1553538789739</t>
  </si>
  <si>
    <t xml:space="preserve">Dedicated Geek Squad smart home setup and install category (snippet)</t>
  </si>
  <si>
    <t xml:space="preserve">Smart home device assembly/installation typically takes 1 person a few hours (snippet)</t>
  </si>
  <si>
    <t xml:space="preserve">OnTech Smart Services</t>
  </si>
  <si>
    <t xml:space="preserve">https://www.ontechsmartservices.com/pages/installation-pricing</t>
  </si>
  <si>
    <t xml:space="preserve">Dedicated 'Smart Home Installation Prices' page (snippet)</t>
  </si>
  <si>
    <t xml:space="preserve">Redfin common inspection problems guide</t>
  </si>
  <si>
    <t xml:space="preserve">https://www.redfin.com/blog/most-common-home-inspection-problems/</t>
  </si>
  <si>
    <t xml:space="preserve">Sticking doors/windows cited as a structural warning sign, not a ranking (snippet)</t>
  </si>
  <si>
    <t xml:space="preserve">Windows ranked #2 US 'how to fix' item on Google Trends (2017) (snippet)</t>
  </si>
  <si>
    <t xml:space="preserve">Sticky windows listed among common DIY fixes (snippet)</t>
  </si>
  <si>
    <t xml:space="preserve">Windows listed among the 22 repairs (snippet)</t>
  </si>
  <si>
    <t xml:space="preserve">'Sticky Doors/Windows' listed; grit in sliding tracks cited (snippet)</t>
  </si>
  <si>
    <t xml:space="preserve">MassLandlords handyperson list</t>
  </si>
  <si>
    <t xml:space="preserve">https://masslandlords.net/need-a-good-handyman-give-us-your-feedback-on-our-handyperson-proposal/</t>
  </si>
  <si>
    <t xml:space="preserve">Adjusting dragging or squeaking windows on landlord handyperson task list (snippet)</t>
  </si>
  <si>
    <t xml:space="preserve">DFW page: doors and windows are often the first signs of clay-soil foundation movement (snippet)</t>
  </si>
  <si>
    <t xml:space="preserve">Repainting: 46% of homeowners put it off, top deferred job (whole-room repainting; Fast Fix covers one door, wall or small area only) (snippet)</t>
  </si>
  <si>
    <t xml:space="preserve">Interior painting called perhaps the most common DIY maintenance task (snippet)</t>
  </si>
  <si>
    <t xml:space="preserve">Painting is 1 of 11 most requested rental repair items (snippet)</t>
  </si>
  <si>
    <t xml:space="preserve">Interior painting named among the most requested handyman services (snippet)</t>
  </si>
  <si>
    <t xml:space="preserve">Interior painting among the most popular 2024 home projects; 47% spent on maintenance (snippet)</t>
  </si>
  <si>
    <t xml:space="preserve">San Antonio page lists painting among common tasks (snippet)</t>
  </si>
  <si>
    <t xml:space="preserve">https://www.handy.com/services</t>
  </si>
  <si>
    <t xml:space="preserve">electrical category lists 'Ceiling &amp; Bath Fans' (snippet)</t>
  </si>
  <si>
    <t xml:space="preserve">'Quieting or replacing a bathroom exhaust fan' is #20 of 23 (snippet)</t>
  </si>
  <si>
    <t xml:space="preserve">NAA common work orders</t>
  </si>
  <si>
    <t xml:space="preserve">https://naahq.org/news/10-things-about-common-maintenance-work-orders</t>
  </si>
  <si>
    <t xml:space="preserve">Kitchen exhaust fan problems among the slowest work-order categories to complete (snippet)</t>
  </si>
  <si>
    <t xml:space="preserve">https://www.homeadvisor.com/cost/bathrooms/install-a-bath-fan/</t>
  </si>
  <si>
    <t xml:space="preserve">Dedicated guide; says 2-4 hours when new wiring and ductwork are required (snippet)</t>
  </si>
  <si>
    <t xml:space="preserve">https://homeguide.com/costs/cost-to-install-bathroom-exhaust-fan</t>
  </si>
  <si>
    <t xml:space="preserve">Dedicated guide; says bathroom fan installation takes 4 to 8 hours (snippet)</t>
  </si>
  <si>
    <t xml:space="preserve">Guide says most pros take about an hour to install a new bathroom exhaust fan (snippet)</t>
  </si>
  <si>
    <t xml:space="preserve">names drywall patching and hinge tightening as common first jobs (snippet)</t>
  </si>
  <si>
    <t xml:space="preserve">Kitchen cabinet repair/painting top kitchen DIY jobs, 20M+ video views (snippet)</t>
  </si>
  <si>
    <t xml:space="preserve">This Old House: Simple Solutions for Worn Drawers</t>
  </si>
  <si>
    <t xml:space="preserve">https://www.thisoldhouse.com/furniture/fast-fix-for-worn-drawers</t>
  </si>
  <si>
    <t xml:space="preserve">Dedicated fast-fix guide for worn drawers (soap or paraffin on runners) (snippet)</t>
  </si>
  <si>
    <t xml:space="preserve">'Loose Cabinet Hardware' in 15 most-reported tenant issues (snippet)</t>
  </si>
  <si>
    <t xml:space="preserve">Carpentry is 1 of 10 top request categories (vendor blog, unranked) (snippet)</t>
  </si>
  <si>
    <t xml:space="preserve">https://www.handy.com/services/mount-tv</t>
  </si>
  <si>
    <t xml:space="preserve">TV mounting page FAQ covers mounting above a fireplace; fireplace mounts are excluded from Fast Fix (snippet)</t>
  </si>
  <si>
    <t xml:space="preserve">Best Buy specialized surfaces add-on</t>
  </si>
  <si>
    <t xml:space="preserve">https://www.bestbuy.com/site/add-on-specialized-tv-mounting/6462887.p?skuId=6462887</t>
  </si>
  <si>
    <t xml:space="preserve">Specialized-surface mounting add-on, est. 45 min (snippet)</t>
  </si>
  <si>
    <t xml:space="preserve">Brick, stone or concrete costs more than drywall; one example adds about $99 (snippet)</t>
  </si>
  <si>
    <t xml:space="preserve">Houston page prices TV mounting over a fireplace at $179 to $249, above plain wall installs (snippet)</t>
  </si>
  <si>
    <t xml:space="preserve">Dallas page says the type of wall behind the TV can change the price (snippet)</t>
  </si>
  <si>
    <t xml:space="preserve">NAHB Eye on Housing, aging-in-place survey</t>
  </si>
  <si>
    <t xml:space="preserve">https://eyeonhousing.org/2023/05/remodeling-market-index-rmi-special-question-analysis-aging-in-place/</t>
  </si>
  <si>
    <t xml:space="preserve">Grab bars most common aging-in-place request; 87% of remodelers did one, year uncertain (snippet)</t>
  </si>
  <si>
    <t xml:space="preserve">Grab bars among most common improvements in 40-repair RT Express program (snippet)</t>
  </si>
  <si>
    <t xml:space="preserve">Handyman Connection (MN aging services listing)</t>
  </si>
  <si>
    <t xml:space="preserve">https://mn.gov/adresources/search/df6942e6-fa10-52cb-96de-a75ffc7212b3</t>
  </si>
  <si>
    <t xml:space="preserve">Aging-in-place services include grab bar installation (snippet)</t>
  </si>
  <si>
    <t xml:space="preserve">Homewyse</t>
  </si>
  <si>
    <t xml:space="preserve">https://www.homewyse.com/services/cost_to_install_grab_bars.html</t>
  </si>
  <si>
    <t xml:space="preserve">Dedicated calculator; $162-$408 per bar, basic labor, no general contractor markup (snippet)</t>
  </si>
  <si>
    <t xml:space="preserve">https://homeguide.com/costs/grab-bar-installation-cost</t>
  </si>
  <si>
    <t xml:space="preserve">Dedicated 2026 cost guide for grab bar installation (snippet)</t>
  </si>
  <si>
    <t xml:space="preserve">https://www.fixr.com/costs/grab-bars-installation</t>
  </si>
  <si>
    <t xml:space="preserve">Dedicated cost page for installing grab bars (snippet)</t>
  </si>
  <si>
    <t xml:space="preserve">ConsumerAffairs</t>
  </si>
  <si>
    <t xml:space="preserve">https://consumeraffairs.com/homeowners/aging-in-place-home-modifications.html</t>
  </si>
  <si>
    <t xml:space="preserve">Advises 250-lb-rated bar screwed into studs; about $50 to $100 per bar plus $100 to $200 to install (snippet)</t>
  </si>
  <si>
    <t xml:space="preserve">City of Detroit accessibility checklist (2025)</t>
  </si>
  <si>
    <t xml:space="preserve">https://detroitmi.gov/sites/detroitmi.localhost/files/2025-09/Housing%20Accessibility%20Checklist%20%28Large%20Print%29.pdf</t>
  </si>
  <si>
    <t xml:space="preserve">2025 checklist: place grab bars at toilet and shower; a 24-inch bar is versatile (snippet)</t>
  </si>
  <si>
    <t xml:space="preserve">Lifeline</t>
  </si>
  <si>
    <t xml:space="preserve">https://www.lifeline.com/blog/how-to-install-grab-bars-in-no-time/</t>
  </si>
  <si>
    <t xml:space="preserve">Grab bar install can often be done in about an hour (snippet)</t>
  </si>
  <si>
    <t xml:space="preserve">grabbars.com</t>
  </si>
  <si>
    <t xml:space="preserve">https://grabbars.com/how-much-does-grab-bar-installation-cost/</t>
  </si>
  <si>
    <t xml:space="preserve">Says installing grab bars in a shower takes 30 minutes to 1 hour, varying by wall surface (snippet)</t>
  </si>
  <si>
    <t xml:space="preserve">https://www.homeadvisor.com/tloc/Seagoville-TX/Garage-Door-Opener-Repair-or-Adjust</t>
  </si>
  <si>
    <t xml:space="preserve">dedicated "Garage Door Opener Repair or Adjust" service page (search snippet)</t>
  </si>
  <si>
    <t xml:space="preserve">Hunker</t>
  </si>
  <si>
    <t xml:space="preserve">https://www.hunker.com/13771688/how-to-fix-a-garage-door/</t>
  </si>
  <si>
    <t xml:space="preserve">"How to fix 5 common garage door problems" DIY guide (search snippet)</t>
  </si>
  <si>
    <t xml:space="preserve">Liberty HomeGuard</t>
  </si>
  <si>
    <t xml:space="preserve">https://www.libertyhomeguard.com/troubleshooting-your-garage-door-keypad</t>
  </si>
  <si>
    <t xml:space="preserve">troubleshooting guide for garage door keypads (search snippet)</t>
  </si>
  <si>
    <t xml:space="preserve">https://homeguide.com/costs/garage-door-repair-cost</t>
  </si>
  <si>
    <t xml:space="preserve">Dedicated 2026 garage door repair cost guide (snippet)</t>
  </si>
  <si>
    <t xml:space="preserve">https://www.fixr.com/costs/garage-door-repair</t>
  </si>
  <si>
    <t xml:space="preserve">Dedicated garage door repair cost page (snippet)</t>
  </si>
  <si>
    <t xml:space="preserve">https://www.angi.com/articles/most-common-garage-door-repair-costs/ny/new-york</t>
  </si>
  <si>
    <t xml:space="preserve">New York City guide lists $50-$200 for sensor work (snippet)</t>
  </si>
  <si>
    <t xml:space="preserve">American Home Shield</t>
  </si>
  <si>
    <t xml:space="preserve">https://ahs.com/home-matters/repair-maintenance/how-to-troubleshoot-a-garage-door-keypad</t>
  </si>
  <si>
    <t xml:space="preserve">Page 'Garage Door Opener Not Working - What Next?' covers keypad troubleshooting (snippet)</t>
  </si>
  <si>
    <t xml:space="preserve">A1 Garage Door Service</t>
  </si>
  <si>
    <t xml:space="preserve">https://a1garage.com/garage-door-opener-problems-and-fixes/</t>
  </si>
  <si>
    <t xml:space="preserve">Page titled 'garage door opener problems and fixes' (snippet)</t>
  </si>
  <si>
    <t xml:space="preserve">Resident.com (Apr 2026)</t>
  </si>
  <si>
    <t xml:space="preserve">https://resident.com/home-and-living/2026/04/28/garage-door-not-opening-common-reasons-your-garage-door-opener-isnt-working</t>
  </si>
  <si>
    <t xml:space="preserve">Apr 2026 article on common reasons a garage door opener is not working (snippet)</t>
  </si>
  <si>
    <t xml:space="preserve">'handyman garage door repair' 1,000 avg monthly searches, low competition (2024); adjacent, not opener-specific (snippet)</t>
  </si>
  <si>
    <t xml:space="preserve">https://www.angi.com/articles/cost-replace-shower-head.htm</t>
  </si>
  <si>
    <t xml:space="preserve">dedicated 2026 showerhead replacement cost guide, avg $260 (snippet)</t>
  </si>
  <si>
    <t xml:space="preserve">'To-Do List for Handyperson' names replacing a showerhead (snippet)</t>
  </si>
  <si>
    <t xml:space="preserve">Faucets and heads grouped as #3 defect, 14.75%; showerheads not split out (snippet)</t>
  </si>
  <si>
    <t xml:space="preserve">Family Handyman: 100 Home Repairs You Can Do Yourself</t>
  </si>
  <si>
    <t xml:space="preserve">https://www.familyhandyman.com/list/home-repairs-you-can-do-yourself/</t>
  </si>
  <si>
    <t xml:space="preserve">Entry on fixing a loose showerhead with expanding foam (snippet)</t>
  </si>
  <si>
    <t xml:space="preserve">Drips after shut-off usually a worn washer in the nozzle, easily swapped (snippet)</t>
  </si>
  <si>
    <t xml:space="preserve">Lowe's: How to Fix Common Shower Faucet Problems</t>
  </si>
  <si>
    <t xml:space="preserve">https://www.lowes.com/n/how-to/how-to-fix-shower-faucets</t>
  </si>
  <si>
    <t xml:space="preserve">Soak removable showerhead in vinegar to clear mineral buildup (snippet)</t>
  </si>
  <si>
    <t xml:space="preserve">Invoicefly</t>
  </si>
  <si>
    <t xml:space="preserve">https://invoicefly.com/academy/handyman-services/</t>
  </si>
  <si>
    <t xml:space="preserve">babyproofing lists cabinet locks, outlet covers, baby gates (snippet)</t>
  </si>
  <si>
    <t xml:space="preserve">babyproofing listed as a handyman service (snippet)</t>
  </si>
  <si>
    <t xml:space="preserve">Baby-proofing listed among membership jobs (snippet)</t>
  </si>
  <si>
    <t xml:space="preserve">https://origin-2.fixr.com/costs/childproofing</t>
  </si>
  <si>
    <t xml:space="preserve">Childproofing national average range given as $500 to $2,500 (snippet)</t>
  </si>
  <si>
    <t xml:space="preserve">HomeAdvisor (Wayback)</t>
  </si>
  <si>
    <t xml:space="preserve">https://webcf.waybackmachine.org/web/20231211070054/https://www.homeadvisor.com/cost/handyman</t>
  </si>
  <si>
    <t xml:space="preserve">'How Much Do Babyproofing Services Cost?' average $403 from 290 member projects (snippet)</t>
  </si>
  <si>
    <t xml:space="preserve">MoneyGeek</t>
  </si>
  <si>
    <t xml:space="preserve">https://www.moneygeek.com/insurance/homeowners/resources/childproofing-your-home/</t>
  </si>
  <si>
    <t xml:space="preserve">Guide titled 'How to Childproof Your Home: Tips and Costs' (snippet)</t>
  </si>
  <si>
    <t xml:space="preserve">deck repair listed first among common requests; named by one franchise owner (May 2026 release) (snippet)</t>
  </si>
  <si>
    <t xml:space="preserve">deck construction and repair listed 7th of 7 most requested (snippet)</t>
  </si>
  <si>
    <t xml:space="preserve">Decks listed among the 22 repairs (snippet)</t>
  </si>
  <si>
    <t xml:space="preserve">Repairing decks listed among the 23 jobs (snippet)</t>
  </si>
  <si>
    <t xml:space="preserve">Deck construction and repair named among the most requested handyman services (snippet)</t>
  </si>
  <si>
    <t xml:space="preserve">Housecall Pro Texas handyman licensing</t>
  </si>
  <si>
    <t xml:space="preserve">https://www.housecallpro.com/licensing/handyman/texas/</t>
  </si>
  <si>
    <t xml:space="preserve">Texas unlicensed handyman work includes fence, deck or siding repair (snippet)</t>
  </si>
  <si>
    <t xml:space="preserve">Cosmetic sheetrock cracks/nail pops 13.09% of 15,000 reports (snippet)</t>
  </si>
  <si>
    <t xml:space="preserve">Van Metre Homes builder warranty guidance</t>
  </si>
  <si>
    <t xml:space="preserve">https://support.vanmetrehomes.com/why-am-i-seeing-settlement-cracks-or-nail-pops</t>
  </si>
  <si>
    <t xml:space="preserve">Builder warranty covers cracks over 1/8 in and nail pops in first year (snippet)</t>
  </si>
  <si>
    <t xml:space="preserve">Nail pops listed #5 of 10; caused by shrinking wood studs (snippet)</t>
  </si>
  <si>
    <t xml:space="preserve">This Old House: How To Patch Drywall</t>
  </si>
  <si>
    <t xml:space="preserve">https://www.thisoldhouse.com/walls/how-to-patch-drywall</t>
  </si>
  <si>
    <t xml:space="preserve">Set nail with a drywall screw first, then fill; called relatively easy (snippet)</t>
  </si>
  <si>
    <t xml:space="preserve">Most ceiling cracks presented as manageable DIY jobs (snippet)</t>
  </si>
  <si>
    <t xml:space="preserve">House Doctors Austin (clay soil)</t>
  </si>
  <si>
    <t xml:space="preserve">https://www.housedoctors.com/austin-tx/blog/categories/handyman-services/why-austins-clay-soil-wrecks-foundations-and-wha/</t>
  </si>
  <si>
    <t xml:space="preserve">Austin handyman blog titled 'Why Austin's clay soil wrecks foundations and wha...' (title only) (snippet)</t>
  </si>
  <si>
    <t xml:space="preserve">tile installation listed 5th of 7 most requested; tile repair not itemized (snippet)</t>
  </si>
  <si>
    <t xml:space="preserve">tiling listed as a handyman service (snippet)</t>
  </si>
  <si>
    <t xml:space="preserve">Cracked ceramic tile: color-matched repair kit is faster and cheaper than replacing (snippet)</t>
  </si>
  <si>
    <t xml:space="preserve">San Antonio page lists tile repair among common tasks (snippet)</t>
  </si>
  <si>
    <t xml:space="preserve">Tile installation named among the most requested handyman services (repair not specified) (snippet)</t>
  </si>
  <si>
    <t xml:space="preserve">Garbage disposals listed among the 22 repairs (snippet)</t>
  </si>
  <si>
    <t xml:space="preserve">'Garbage Disposal Jams' in 15 most-reported issues; reset button tip (snippet)</t>
  </si>
  <si>
    <t xml:space="preserve">Disposals listed #1 by one commenter and #3 by another (forum, anecdotal) (snippet)</t>
  </si>
  <si>
    <t xml:space="preserve">Garbage disposals appear in plumbing requests; no separate count given (snippet)</t>
  </si>
  <si>
    <t xml:space="preserve">'how to fix garbage disposal' 3,300 monthly searches (US; page updated May 2026) (snippet)</t>
  </si>
  <si>
    <t xml:space="preserve">Rekey/Locks is 2.5% of 185k categorized requests (snippet)</t>
  </si>
  <si>
    <t xml:space="preserve">HAR make-ready checklist</t>
  </si>
  <si>
    <t xml:space="preserve">https://www.har.com/web/cano/blogs/141789</t>
  </si>
  <si>
    <t xml:space="preserve">Make-ready checklist says re-key or change codes so old access does not linger (snippet)</t>
  </si>
  <si>
    <t xml:space="preserve">Simple rekey about $40; rekeying changes the lock pins rather than swapping hardware (snippet)</t>
  </si>
  <si>
    <t xml:space="preserve">Angi locksmith costs article returned for rekey cost query (snippet)</t>
  </si>
  <si>
    <t xml:space="preserve">https://www.thumbtack.com/guide/content/thumbtack-reveals-the-2025-most-festive-cities-where-homeowners-go-all-out-for-the-holidays</t>
  </si>
  <si>
    <t xml:space="preserve">2025 ranking by light-install requests: Austin 1, Dallas 2, Houston 6, San Antonio 9 (snippet)</t>
  </si>
  <si>
    <t xml:space="preserve">Thumbtack blog</t>
  </si>
  <si>
    <t xml:space="preserve">https://blog.thumbtack.com/thumbtack-reveals-the-2025-most-festive-cities-where-homeowners-go-all-out-for-the-holidays-f2e9ad0831e1</t>
  </si>
  <si>
    <t xml:space="preserve">most holiday light installs average $208-$500 (snippet)</t>
  </si>
  <si>
    <t xml:space="preserve">holiday light installation listed as a seasonal handyman service (snippet)</t>
  </si>
  <si>
    <t xml:space="preserve">Handy spokesperson: top Thanksgiving-weekend calls incl. setting up Christmas trees (snippet)</t>
  </si>
  <si>
    <t xml:space="preserve">https://www.thumbtack.com/p/cabinet-refacing-cost</t>
  </si>
  <si>
    <t xml:space="preserve">refacing guide cites knob replacement at $2-$4 per knob (snippet)</t>
  </si>
  <si>
    <t xml:space="preserve">says handymen handle worn sinks, cabinets, lighting fixtures, doors (snippet)</t>
  </si>
  <si>
    <t xml:space="preserve">updating hardware listed as a handyman job (snippet)</t>
  </si>
  <si>
    <t xml:space="preserve">Home Depot Pro Referral cabinet hardware install</t>
  </si>
  <si>
    <t xml:space="preserve">https://www.homedepot.com/services/c/cabinet-hardware-installation/70b3b3464</t>
  </si>
  <si>
    <t xml:space="preserve">Dedicated cabinet hardware installation service page (snippet)</t>
  </si>
  <si>
    <t xml:space="preserve">Handyman Connection Kitchener via Poyst</t>
  </si>
  <si>
    <t xml:space="preserve">https://www.poyst.com/business/handyman-connection-of-kitchener</t>
  </si>
  <si>
    <t xml:space="preserve">branch lists door installation and adjustment, interior and exterior (Canada) (snippet)</t>
  </si>
  <si>
    <t xml:space="preserve">Fixing or replacing doors listed among the 23 jobs (snippet)</t>
  </si>
  <si>
    <t xml:space="preserve">Doors (hanging, repairing, new doorways) in franchise's top 3 requests (snippet)</t>
  </si>
  <si>
    <t xml:space="preserve">Door and window repair and replacement among most requested (snippet)</t>
  </si>
  <si>
    <t xml:space="preserve">Testing smoke detectors: 36% of 2,000 homeowners do it themselves (snippet)</t>
  </si>
  <si>
    <t xml:space="preserve">Homeowner 101 guides include changing smoke alarm batteries (snippet)</t>
  </si>
  <si>
    <t xml:space="preserve">'Detector chirps' called the most common nuisance call landlords get (snippet)</t>
  </si>
  <si>
    <t xml:space="preserve">exterior spigots named in contractor's most popular light plumbing; one handyman lists spigot replacement within it (snippet)</t>
  </si>
  <si>
    <t xml:space="preserve">Houston: missing/failed backflow preventer costs $75-$350 to replace (snippet)</t>
  </si>
  <si>
    <t xml:space="preserve">Texas Disposal blog</t>
  </si>
  <si>
    <t xml:space="preserve">https://www.texasdisposal.com/blog/how-to-prepare-home-for-freeze-texas/</t>
  </si>
  <si>
    <t xml:space="preserve">Texas freeze guide: outdoor faucets are among the most common failure points during freezes (snippet)</t>
  </si>
  <si>
    <t xml:space="preserve">CBS Colorado</t>
  </si>
  <si>
    <t xml:space="preserve">https://www.cbsnews.com/colorado/news/as-freezing-temps-move-in-pay-attention-to-exposed-pipes</t>
  </si>
  <si>
    <t xml:space="preserve">Colorado plumber warns a cracked frostless spigot can flood a basement when first turned on (snippet)</t>
  </si>
  <si>
    <t xml:space="preserve">Lowe's: Repairing a Dishwasher</t>
  </si>
  <si>
    <t xml:space="preserve">https://www.lowes.com/n/how-to/how-to-repair-dishwasher</t>
  </si>
  <si>
    <t xml:space="preserve">Guide covers leaks and drainage; new rubber seal called easy and inexpensive (snippet)</t>
  </si>
  <si>
    <t xml:space="preserve">Dishwasher filters listed among easy repairs (snippet)</t>
  </si>
  <si>
    <t xml:space="preserve">Dishwasher with standing water is 1 of 11 most requested rental repair items (snippet)</t>
  </si>
  <si>
    <t xml:space="preserve">Pro category covers dishwasher repair as well as install (snippet)</t>
  </si>
  <si>
    <t xml:space="preserve">Roto-Rooter: State of Home Repair in 2024</t>
  </si>
  <si>
    <t xml:space="preserve">https://www.rotorooter.com/blog/plumbing/state-of-home-repair-in-2024/</t>
  </si>
  <si>
    <t xml:space="preserve">Search summary said broken window repair top-searched in 6 states; unconfirmed on re-search (snippet)</t>
  </si>
  <si>
    <t xml:space="preserve">Broken window is 1 of 11 most requested rental repair items (snippet)</t>
  </si>
  <si>
    <t xml:space="preserve">Broken windows listed among frequent rental repairs (vendor blog) (snippet)</t>
  </si>
  <si>
    <t xml:space="preserve">San Antonio page lists window pane replacement among common tasks (snippet)</t>
  </si>
  <si>
    <t xml:space="preserve">https://www.thumbtack.com/-Houston-TX/service/3799652</t>
  </si>
  <si>
    <t xml:space="preserve">a Houston pro profile lists closet and shelving system installation (snippet)</t>
  </si>
  <si>
    <t xml:space="preserve">New-homeowner guide suggests wire closet shelving to expand storage (snippet)</t>
  </si>
  <si>
    <t xml:space="preserve">Home Depot store services page (Dallas)</t>
  </si>
  <si>
    <t xml:space="preserve">https://homedepot.com/l/Lemmon-Avenue/TX/Dallas/75209/589/services</t>
  </si>
  <si>
    <t xml:space="preserve">Closet installation listed among contractor-installed services (snippet)</t>
  </si>
  <si>
    <t xml:space="preserve">2026 toilet repair guide prices a seat swap at $50-$70 (snippet)</t>
  </si>
  <si>
    <t xml:space="preserve">Toilet repair is the top bathroom help request; seats not itemized (snippet)</t>
  </si>
  <si>
    <t xml:space="preserve">Busted toilet seats listed among frequent rental repair requests (vendor blog) (snippet)</t>
  </si>
  <si>
    <t xml:space="preserve">https://www.taskrabbit.com/cost-guides/assemble-furniture</t>
  </si>
  <si>
    <t xml:space="preserve">furniture assembly guide lists desk assembly avg $48 (snippet)</t>
  </si>
  <si>
    <t xml:space="preserve">https://orders.handy.com/services/partner-furniture-assembly-service/miami</t>
  </si>
  <si>
    <t xml:space="preserve">review of a Wayfair desk assembled in under 30 min by two pros (snippet)</t>
  </si>
  <si>
    <t xml:space="preserve">Handyman Connection Ottawa</t>
  </si>
  <si>
    <t xml:space="preserve">https://handymanconnection.com/ottawa/?p=742198</t>
  </si>
  <si>
    <t xml:space="preserve">Blog names bookshelves, cabinets and desks as typical home-office handyman requests (snippet)</t>
  </si>
  <si>
    <t xml:space="preserve">Handyman Connection McKinney/Frisco TX</t>
  </si>
  <si>
    <t xml:space="preserve">https://handymanconnection.com/mckinney-frisco/articles/how-to-setup-the-perfect-home-office-in-the-mckinney-area/</t>
  </si>
  <si>
    <t xml:space="preserve">Texas article titled 'How to Setup the Perfect Home Office in the McKinney Area' (title only) (snippet)</t>
  </si>
  <si>
    <t xml:space="preserve">Taskers mount heavy mirrors, floating shelves, curtain rods, whiteboards; named under item #1, wall mounting (snippet)</t>
  </si>
  <si>
    <t xml:space="preserve">2026 guide: hanging pictures or mirrors $60-$120 per task (snippet)</t>
  </si>
  <si>
    <t xml:space="preserve">mounting page says Taskers mount TVs and soundbars (snippet)</t>
  </si>
  <si>
    <t xml:space="preserve">Archived page lists Home Theater Setup as an add-on service (snippet)</t>
  </si>
  <si>
    <t xml:space="preserve">Best Buy TV setup and mounting packages</t>
  </si>
  <si>
    <t xml:space="preserve">https://www.bestbuy.com/site/tv-home-theater-services/tv-mounting-packages/pcmcat748300648009.c?id=pcmcat748300648009</t>
  </si>
  <si>
    <t xml:space="preserve">Priced setup-and-mounting packages by TV size (snippet)</t>
  </si>
  <si>
    <t xml:space="preserve">installing fixtures or appliances listed in small one-off visits (snippet)</t>
  </si>
  <si>
    <t xml:space="preserve">Best Buy appliance services</t>
  </si>
  <si>
    <t xml:space="preserve">https://www.bestbuy.com/site/services/appliance-services/pcmcat255100050002.c?id=pcmcat255100050002</t>
  </si>
  <si>
    <t xml:space="preserve">Over-the-range microwave install priced at about $180-240 incl. delivery (snippet)</t>
  </si>
  <si>
    <t xml:space="preserve">Over-the-range microwaves listed among installable appliances (snippet)</t>
  </si>
  <si>
    <t xml:space="preserve">https://www.homeadvisor.com/tloc/Ridgeville-SC/Storm-Door-Repair</t>
  </si>
  <si>
    <t xml:space="preserve">dedicated 'Storm Door Repair' service page exists, title only (snippet)</t>
  </si>
  <si>
    <t xml:space="preserve">https://www.homeadvisor.com/tloc/Salisbury-NC/Hardware-Latches-Tracks-Door-Repair-or-Replace</t>
  </si>
  <si>
    <t xml:space="preserve">dedicated 'Hardware Latches Tracks Door Repair or Replace' page exists (snippet)</t>
  </si>
  <si>
    <t xml:space="preserve">Replacing a storm or screen door on landlord handyperson task list (snippet)</t>
  </si>
  <si>
    <t xml:space="preserve">Door repair is the top DIY repair category; knob tightening not itemized (snippet)</t>
  </si>
  <si>
    <t xml:space="preserve">Guide: remove set screws, wrap spindle with thread-seal tape, tighten (snippet)</t>
  </si>
  <si>
    <t xml:space="preserve">Loose interior door knobs listed among common DIY fixes (snippet)</t>
  </si>
  <si>
    <t xml:space="preserve">Brighter lighting among most common improvements (snippet)</t>
  </si>
  <si>
    <t xml:space="preserve">AARP HomeFit room-by-room guide</t>
  </si>
  <si>
    <t xml:space="preserve">https://indianapublicmedia.org/pdf/aarp-homefit-roombyroom.pdf</t>
  </si>
  <si>
    <t xml:space="preserve">Suggests plug-in automatic night lights near steps and stairs (snippet)</t>
  </si>
  <si>
    <t xml:space="preserve">AARP Ohio</t>
  </si>
  <si>
    <t xml:space="preserve">https://www.aarp.org/states/ohio/home-improvements-to-help-your-loved-one-age-in-place</t>
  </si>
  <si>
    <t xml:space="preserve">Suggests night-lights in bedrooms and bathrooms to help prevent falls when aging in place (snippet)</t>
  </si>
  <si>
    <t xml:space="preserve">furniture assembly guide lists bed assembly avg $64 (snippet)</t>
  </si>
  <si>
    <t xml:space="preserve">dedicated furniture assembly service page (snippet)</t>
  </si>
  <si>
    <t xml:space="preserve">Reddit r/TaskRabbit (mirror)</t>
  </si>
  <si>
    <t xml:space="preserve">https://redlib.hbubli.cc/r/TaskRabbit/comments/1jfohpf/extremely_low_price</t>
  </si>
  <si>
    <t xml:space="preserve">Thread: experienced tasker finishes a simple IKEA bed frame in about 40-50 minutes (snippet)</t>
  </si>
  <si>
    <t xml:space="preserve">Best Buy product Q&amp;A (LG washer)</t>
  </si>
  <si>
    <t xml:space="preserve">https://www.bestbuy.com/site/questions/lg-4-5-cu-ft-high-efficiency-top-load-washer-with-turbodrum-technology-white/6273800/question/bde8cce9-2778-37c8-a516-c26cae776bc6</t>
  </si>
  <si>
    <t xml:space="preserve">Installer levels washer and attaches hoses (snippet)</t>
  </si>
  <si>
    <t xml:space="preserve">Washers and dryers listed among installable appliances (snippet)</t>
  </si>
  <si>
    <t xml:space="preserve">https://www.taskrabbit.com/blog/how-to-easily-install-a-towel-bar-with-and-without-drilling/</t>
  </si>
  <si>
    <t xml:space="preserve">TaskRabbit publishes a towel bar install how-to (snippet)</t>
  </si>
  <si>
    <t xml:space="preserve">https://www.taskrabbit.com/partner/swissmadison</t>
  </si>
  <si>
    <t xml:space="preserve">partner install tasks are fixed-price, e.g. mirror mounting $85 (snippet)</t>
  </si>
  <si>
    <t xml:space="preserve">Pro lists $50 per bracket, curtain rod, bathroom accessories or shelving (snippet)</t>
  </si>
  <si>
    <t xml:space="preserve">Siding (nail holes) listed among the 22 repairs (snippet)</t>
  </si>
  <si>
    <t xml:space="preserve">Patching holes in siding with color-matched caulk listed (snippet)</t>
  </si>
  <si>
    <t xml:space="preserve">https://www.homeadvisor.com/tloc/Osseo-MN/Window-A-C-Unit-Install</t>
  </si>
  <si>
    <t xml:space="preserve">dedicated 'Window A C Unit Install' page surfaced for honey-do search (snippet)</t>
  </si>
  <si>
    <t xml:space="preserve">Installing air conditioners listed among handyman services (snippet)</t>
  </si>
  <si>
    <t xml:space="preserve">stair repair (loose treads, railings) named a frequent request, one owner, no ranking (May 2026 release) (snippet)</t>
  </si>
  <si>
    <t xml:space="preserve">Loose handrails listed first among routine Houston inspection findings (snippet)</t>
  </si>
  <si>
    <t xml:space="preserve">'Finishes' named among new-home inspection issue categories, no % seen (snippet)</t>
  </si>
  <si>
    <t xml:space="preserve">Carpentry page names repairing baseboard trim (snippet)</t>
  </si>
  <si>
    <t xml:space="preserve">Inspector blog: caulk gaps let water in, leading to rot at exterior trim (snippet)</t>
  </si>
  <si>
    <t xml:space="preserve">Rotted wood: fix moisture source, then replace the damaged section (snippet)</t>
  </si>
  <si>
    <t xml:space="preserve">tiling listed as a handyman service; grout repair not itemized (snippet)</t>
  </si>
  <si>
    <t xml:space="preserve">Fixing cracked grout (caulk as flexible grout) listed among the 23 jobs (snippet)</t>
  </si>
  <si>
    <t xml:space="preserve">Faucets and heads grouped as #3 defect, 14.75%; spouts not split out (snippet)</t>
  </si>
  <si>
    <t xml:space="preserve">Guide covers drips, weak pressure, temperature swings and noises (snippet)</t>
  </si>
  <si>
    <t xml:space="preserve">Door repair is the top DIY repair category; sliding doors not itemized (snippet)</t>
  </si>
  <si>
    <t xml:space="preserve">Toilet repair is the top bathroom DIY help request, 25.5M video views; base fixes not itemized (snippet)</t>
  </si>
  <si>
    <t xml:space="preserve">Rocking toilet: guide suggests plastic shims under the base (snippet)</t>
  </si>
  <si>
    <t xml:space="preserve">Texas freeze guide: take hoses off, fit insulated spigot covers, wrap pipes in garage, attic, exterior walls (snippet)</t>
  </si>
  <si>
    <t xml:space="preserve">CBS Texas</t>
  </si>
  <si>
    <t xml:space="preserve">https://www.cbsnews.com/texas/news/texas-what-to-do-if-your-pipes-burst-during-a-freeze-and-how-plumbers-say-you-can-prevent-it/</t>
  </si>
  <si>
    <t xml:space="preserve">Page on what to do if pipes burst in a freeze and how plumbers say to prevent it (snippet)</t>
  </si>
  <si>
    <t xml:space="preserve">Colorado story titled 'As freezing temps move in, pay attention to exposed pipes' (snippet)</t>
  </si>
  <si>
    <t xml:space="preserve">Roto-Rooter Denver</t>
  </si>
  <si>
    <t xml:space="preserve">https://azure.rotorooter.com/denver/resources/fall-plumbing-winterization/</t>
  </si>
  <si>
    <t xml:space="preserve">Denver page on fall plumbing winterization (snippet)</t>
  </si>
  <si>
    <t xml:space="preserve">installing baby gates included in its 25-service list (snippet)</t>
  </si>
  <si>
    <t xml:space="preserve">babyproofing lists setting up baby gates (snippet)</t>
  </si>
  <si>
    <t xml:space="preserve">babyproofing tasks include baby gates (snippet)</t>
  </si>
  <si>
    <t xml:space="preserve">Cracked concrete listed #6 of 10; tied to a safety issue (snippet)</t>
  </si>
  <si>
    <t xml:space="preserve">Driveway cracks listed among DIY repairs (snippet)</t>
  </si>
  <si>
    <t xml:space="preserve">Home Depot: Building Material Guides</t>
  </si>
  <si>
    <t xml:space="preserve">https://www.homedepot.com/c/alp/home-improvement-ideas-building-material-guides/dqe7-zgd0/3</t>
  </si>
  <si>
    <t xml:space="preserve">Guide listed on fixing cracks in concrete (snippet)</t>
  </si>
  <si>
    <t xml:space="preserve">securing furniture to walls included in its 25-service list (snippet)</t>
  </si>
  <si>
    <t xml:space="preserve">babyproofing service includes anchoring furniture (snippet)</t>
  </si>
  <si>
    <t xml:space="preserve">furniture assembly guide lists dresser assembly avg $40 (snippet)</t>
  </si>
  <si>
    <t xml:space="preserve">https://www.taskrabbit.com/services/handyman</t>
  </si>
  <si>
    <t xml:space="preserve">handyman page says Taskers put together desks and bookcases (snippet)</t>
  </si>
  <si>
    <t xml:space="preserve">Archived page lists Outdoor Equipment Assembly as an add-on service (snippet)</t>
  </si>
  <si>
    <t xml:space="preserve">Retail Dive on Amazon Home Services</t>
  </si>
  <si>
    <t xml:space="preserve">https://www.retaildive.com/news/amazon-expands-home-services-to-20-more-us-cities/430368</t>
  </si>
  <si>
    <t xml:space="preserve">Most popular requests: mounting flat-screen TVs, assembling treadmills (article attribution uncertain) (snippet)</t>
  </si>
  <si>
    <t xml:space="preserve">guide lists ceiling lights at $75-$250 per fixture (snippet)</t>
  </si>
  <si>
    <t xml:space="preserve">guide: traditional ceiling lights $90-$185 to install (snippet)</t>
  </si>
  <si>
    <t xml:space="preserve">Squeaky floors listed among the 22 repairs (snippet)</t>
  </si>
  <si>
    <t xml:space="preserve">This Old House: How To Fix Squeaky Floors</t>
  </si>
  <si>
    <t xml:space="preserve">https://www.thisoldhouse.com/flooring/how-to-fix-squeaky-floors</t>
  </si>
  <si>
    <t xml:space="preserve">Dedicated guide: screw-in kit for hardware; powder or graphite for light squeaks (snippet)</t>
  </si>
  <si>
    <t xml:space="preserve">Appliance repair is #4 category at 12.2% of requests (category level only) (snippet)</t>
  </si>
  <si>
    <t xml:space="preserve">Refrigerators, ovens, washers, dryers named as frequent appliance requests (snippet)</t>
  </si>
  <si>
    <t xml:space="preserve">Range hoods listed among installable appliances (snippet)</t>
  </si>
  <si>
    <t xml:space="preserve">guide lists wall-mounted lights at $50-$250 per fixture (snippet)</t>
  </si>
  <si>
    <t xml:space="preserve">task #2 of '10 common handyman tasks': furniture disassembly and reassembly (snippet)</t>
  </si>
  <si>
    <t xml:space="preserve">https://angi.com/articles/key-not-turning-in-lock.htm</t>
  </si>
  <si>
    <t xml:space="preserve">dedicated article on a key that will not turn in the lock (search snippet)</t>
  </si>
  <si>
    <t xml:space="preserve">Rentpost</t>
  </si>
  <si>
    <t xml:space="preserve">https://rentpost.com/resources/article/how-to-fix-a-sticky-lock</t>
  </si>
  <si>
    <t xml:space="preserve">landlord guide to fixing a sticky lock (search snippet)</t>
  </si>
  <si>
    <t xml:space="preserve">K</t>
  </si>
  <si>
    <t xml:space="preserve">Mark Bartholome, Fast Fix Slack thread (internal)</t>
  </si>
  <si>
    <t xml:space="preserve">named "door lock issue" as an example Fast Fix job</t>
  </si>
  <si>
    <t xml:space="preserve">This Old House home warranty survey (2026)</t>
  </si>
  <si>
    <t xml:space="preserve">https://www.thisoldhouse.com/home-finances/home-warranty-survey</t>
  </si>
  <si>
    <t xml:space="preserve">nearly 40% of recent warranty claims were appliance-related (search snippet; refrigerators most claimed per an aggregator)</t>
  </si>
  <si>
    <t xml:space="preserve">appliance repair or maintenance ranked right after handyman among top maintenance projects (search snippet)</t>
  </si>
  <si>
    <t xml:space="preserve">named "appliance diagnostic" as an example Fast Fix job</t>
  </si>
  <si>
    <t xml:space="preserve">Popular job (not a Fast Fix)</t>
  </si>
  <si>
    <t xml:space="preserve">Why it is referred to a Service Request</t>
  </si>
  <si>
    <t xml:space="preserve">Angles that listed it</t>
  </si>
  <si>
    <t xml:space="preserve">Paint a whole room (interior painting)</t>
  </si>
  <si>
    <t xml:space="preserve">Over 3 hours; prep, coats and dry time. Only touch-ups and a single door, accent wall or small area fit Fast Fix (the small-area version is now in the catalog).</t>
  </si>
  <si>
    <t xml:space="preserve">A, B, C, D, E</t>
  </si>
  <si>
    <t xml:space="preserve">Roof repair or replacement, including hail damage</t>
  </si>
  <si>
    <t xml:space="preserve">Licensed roofer and beyond a standard step ladder.</t>
  </si>
  <si>
    <t xml:space="preserve">A, C, D, E, F, H</t>
  </si>
  <si>
    <t xml:space="preserve">AC or heating repair, furnace or HVAC replacement</t>
  </si>
  <si>
    <t xml:space="preserve">Licensed HVAC trade, refrigerant and gas work.</t>
  </si>
  <si>
    <t xml:space="preserve">A, B, C, D, E, F</t>
  </si>
  <si>
    <t xml:space="preserve">Repair or replace a water heater</t>
  </si>
  <si>
    <t xml:space="preserve">Licensed plumber, gas or high-amp electrical work; usually over 3 hours.</t>
  </si>
  <si>
    <t xml:space="preserve">C, D, E, H</t>
  </si>
  <si>
    <t xml:space="preserve">Install new appliances needing gas or new plumbing (range, dryer, wall oven)</t>
  </si>
  <si>
    <t xml:space="preserve">Gas work or new hookups need licensed trades.</t>
  </si>
  <si>
    <t xml:space="preserve">A, F</t>
  </si>
  <si>
    <t xml:space="preserve">Appliance repair (refrigerator, washer, dryer, oven)</t>
  </si>
  <si>
    <t xml:space="preserve">Appliance-technician diagnosis and parts; rarely one visit; possible gas.</t>
  </si>
  <si>
    <t xml:space="preserve">B, C, D, E</t>
  </si>
  <si>
    <t xml:space="preserve">Clean gutters on a two-story home or any job needing an extension ladder</t>
  </si>
  <si>
    <t xml:space="preserve">Needs an extension ladder or roof-edge access. The single-story, step-ladder version is now in the catalog as 'Clean gutters and add downspout extensions (single-story reach)'.</t>
  </si>
  <si>
    <t xml:space="preserve">A, B, C, D, F</t>
  </si>
  <si>
    <t xml:space="preserve">Pressure wash a patio, walkway or driveway</t>
  </si>
  <si>
    <t xml:space="preserve">Equipment-heavy and usually over 3 hours.</t>
  </si>
  <si>
    <t xml:space="preserve">A, B, F</t>
  </si>
  <si>
    <t xml:space="preserve">Install flooring</t>
  </si>
  <si>
    <t xml:space="preserve">Over 3 hours for most rooms.</t>
  </si>
  <si>
    <t xml:space="preserve">A, D, E, F</t>
  </si>
  <si>
    <t xml:space="preserve">Install tile (floor, backsplash, shower)</t>
  </si>
  <si>
    <t xml:space="preserve">Over 3 hours and needs cure time. Replacing one to three tiles and small grout repairs stay in the catalog.</t>
  </si>
  <si>
    <t xml:space="preserve">A, B, D, F</t>
  </si>
  <si>
    <t xml:space="preserve">Build or repair a deck or fence</t>
  </si>
  <si>
    <t xml:space="preserve">Over 3 hours, structural or outdoor carpentry. A few deck boards, a gate latch or a few pickets stay in the catalog.</t>
  </si>
  <si>
    <t xml:space="preserve">Hang and finish new drywall sheets</t>
  </si>
  <si>
    <t xml:space="preserve">Over 3 hours with taping and drying coats.</t>
  </si>
  <si>
    <t xml:space="preserve">Install a new outlet, new circuit or recessed lighting</t>
  </si>
  <si>
    <t xml:space="preserve">New wiring needs a licensed electrician.</t>
  </si>
  <si>
    <t xml:space="preserve">A, C, D, F</t>
  </si>
  <si>
    <t xml:space="preserve">Add a ceiling fan or light where none exists, or convert a light fixture to a fan</t>
  </si>
  <si>
    <t xml:space="preserve">New wiring and box work. The like-for-like fan swap on an existing fan-rated box stays in the catalog.</t>
  </si>
  <si>
    <t xml:space="preserve">A, F, H</t>
  </si>
  <si>
    <t xml:space="preserve">Install an EV charger or generator</t>
  </si>
  <si>
    <t xml:space="preserve">New circuit, possibly gas; licensed electrician.</t>
  </si>
  <si>
    <t xml:space="preserve">F, H</t>
  </si>
  <si>
    <t xml:space="preserve">Fix a tripping breaker, flickering wiring or dead circuit</t>
  </si>
  <si>
    <t xml:space="preserve">Faulty wiring or panel work needs a licensed electrician.</t>
  </si>
  <si>
    <t xml:space="preserve">C, E</t>
  </si>
  <si>
    <t xml:space="preserve">Install a hardwired or PoE security system</t>
  </si>
  <si>
    <t xml:space="preserve">New wiring runs through walls and attics.</t>
  </si>
  <si>
    <t xml:space="preserve">A, H</t>
  </si>
  <si>
    <t xml:space="preserve">Garage door repair (springs, cables, opener)</t>
  </si>
  <si>
    <t xml:space="preserve">High-tension spring and cable work is a specialist safety job. Sensor alignment, keypad, remote and bottom-seal fixes are a popular eligible slice, held in runners_up until sourced.</t>
  </si>
  <si>
    <t xml:space="preserve">A, D, E, H</t>
  </si>
  <si>
    <t xml:space="preserve">Replace windows or exterior doors</t>
  </si>
  <si>
    <t xml:space="preserve">Over 3 hours, specialist install, often above step-ladder height.</t>
  </si>
  <si>
    <t xml:space="preserve">Replace a sliding patio door</t>
  </si>
  <si>
    <t xml:space="preserve">Over 3 hours and specialist install.</t>
  </si>
  <si>
    <t xml:space="preserve">Bathroom or kitchen remodel, vanity, cabinets or countertops</t>
  </si>
  <si>
    <t xml:space="preserve">Multi-day, licensed trades, moves water lines.</t>
  </si>
  <si>
    <t xml:space="preserve">Replace a bathtub faucet or shower valve</t>
  </si>
  <si>
    <t xml:space="preserve">Behind-the-wall plumbing; licensed plumber.</t>
  </si>
  <si>
    <t xml:space="preserve">Clear a main drain or sewer line</t>
  </si>
  <si>
    <t xml:space="preserve">Plumber equipment and licensed trade.</t>
  </si>
  <si>
    <t xml:space="preserve">A, C, E</t>
  </si>
  <si>
    <t xml:space="preserve">Foundation or structural repair, including foundation, slab or stair-step wall cracks</t>
  </si>
  <si>
    <t xml:space="preserve">Structural specialist work; Texas clay-soil movement shows up as stair-step or door-binding cracks.</t>
  </si>
  <si>
    <t xml:space="preserve">C, H</t>
  </si>
  <si>
    <t xml:space="preserve">Pest control or termite treatment</t>
  </si>
  <si>
    <t xml:space="preserve">Licensed pest control. Sealing gaps stays in the catalog.</t>
  </si>
  <si>
    <t xml:space="preserve">Mold remediation or water damage repair</t>
  </si>
  <si>
    <t xml:space="preserve">Specialist remediation; over 3 hours.</t>
  </si>
  <si>
    <t xml:space="preserve">C, E, H</t>
  </si>
  <si>
    <t xml:space="preserve">Tree trimming, lawn mowing and yard work</t>
  </si>
  <si>
    <t xml:space="preserve">Landscaping, ladder or saw work, not an in-home repair.</t>
  </si>
  <si>
    <t xml:space="preserve">Install or hang wallpaper, remove popcorn ceiling</t>
  </si>
  <si>
    <t xml:space="preserve">Over 3 hours and messy.</t>
  </si>
  <si>
    <t xml:space="preserve">A, D, F</t>
  </si>
  <si>
    <t xml:space="preserve">Refinish or repaint kitchen cabinets, stain a deck or exterior</t>
  </si>
  <si>
    <t xml:space="preserve">Multi-day prep and coats.</t>
  </si>
  <si>
    <t xml:space="preserve">Moving help, cleaning, hauling</t>
  </si>
  <si>
    <t xml:space="preserve">Labor services, not repairs or installs.</t>
  </si>
  <si>
    <t xml:space="preserve">A, B, E, F</t>
  </si>
  <si>
    <t xml:space="preserve">Radon mitigation</t>
  </si>
  <si>
    <t xml:space="preserve">Specialist installer; more than 3 hours.</t>
  </si>
  <si>
    <t xml:space="preserve">Wheelchair ramp or curbless shower</t>
  </si>
  <si>
    <t xml:space="preserve">Over 3 hours; carpentry or licensed trades.</t>
  </si>
  <si>
    <t xml:space="preserve">Mount a TV above a fireplace</t>
  </si>
  <si>
    <t xml:space="preserve">Heat clearance plus in-wall power or cable concealment mean new wiring. Masonry-wall mounts away from a fireplace stay in the catalog.</t>
  </si>
  <si>
    <t xml:space="preserve">Hide TV cables or run speaker wire inside a wall</t>
  </si>
  <si>
    <t xml:space="preserve">New low-voltage or power wiring through walls.</t>
  </si>
  <si>
    <t xml:space="preserve">Replace a double-pane or insulated glass unit, or glass in any upper-floor window</t>
  </si>
  <si>
    <t xml:space="preserve">Insulated units are custom-ordered (two visits), upper floors break the step-ladder rule, and pre-1978 glazing putty can trigger lead-safe rules.</t>
  </si>
  <si>
    <t xml:space="preserve">D, E</t>
  </si>
  <si>
    <t xml:space="preserve">First-time install of a disposal, dishwasher, over-the-range microwave or washer where no hookup, outlet or vent exists</t>
  </si>
  <si>
    <t xml:space="preserve">New plumbing, drain, vent or circuit work; only like-for-like swaps on existing connections are in the catalog.</t>
  </si>
  <si>
    <t xml:space="preserve">B, F</t>
  </si>
  <si>
    <t xml:space="preserve">Replace stair treads, stringers or newel posts, or rebuild stairs and elevated deck rails</t>
  </si>
  <si>
    <t xml:space="preserve">Structural carpentry with injury liability. Re-securing a loose rail or tread stays in the catalog.</t>
  </si>
  <si>
    <t xml:space="preserve">B, C</t>
  </si>
  <si>
    <t xml:space="preserve">Any job above a standard step ladder (two-story foyer fixtures, vaulted ceilings and fans, second-story windows and eaves)</t>
  </si>
  <si>
    <t xml:space="preserve">Ladder rule: ask ceiling height and number of stories at booking and auto-decline.</t>
  </si>
  <si>
    <t xml:space="preserve">Eligibility critic (no family evidence)</t>
  </si>
  <si>
    <t xml:space="preserve">Repair or replace garage door springs or cables</t>
  </si>
  <si>
    <t xml:space="preserve">High-tension springs and cables are unsafe for DIY: G says exclude springs and cables from the opener job, H says they are unsafe DIY, and I notes garage door repair often includes springs and doors, which are not Fast Fix eligible. Demand is real (HomeGuide, Fixr and Angi cost guides), but it is a specialist repair.</t>
  </si>
  <si>
    <t xml:space="preserve">GHI</t>
  </si>
  <si>
    <t xml:space="preserve">Whole-home childproofing (full house)</t>
  </si>
  <si>
    <t xml:space="preserve">Whole-home jobs are priced at 4 to 14 hours by 1 to 2 techs on low-quality mirror pages, over the 3-hour cap; Fixr gives $500-$2,500 nationally. The listed baby-proof job should stay scoped to a few items.</t>
  </si>
  <si>
    <t xml:space="preserve">Install a hardwired video doorbell that needs new wiring</t>
  </si>
  <si>
    <t xml:space="preserve">New wiring is out of scope: Angi's $300 average likely includes wired work, and hardwired models need existing doorbell wiring while battery models skip it. Fast Fix stays like-for-like or battery only.</t>
  </si>
  <si>
    <t xml:space="preserve">GH</t>
  </si>
  <si>
    <t xml:space="preserve">Add a new electrical outlet where none exists (new wiring)</t>
  </si>
  <si>
    <t xml:space="preserve">Adding an outlet needs new wiring (about $65 in a Thumbtack TV-mount example) and electrician pricing with a 1-hr minimum and trip fee; TX and CO licensing applies, and a Plano handyman page says electrical work needs licensed specialists.</t>
  </si>
  <si>
    <t xml:space="preserve">Install a dishwasher where none existed (new water and drain lines)</t>
  </si>
  <si>
    <t xml:space="preserve">New installs priced at $300-$1,300 labor need new supply and drain lines, which is plumbing work beyond a same-spot swap and out of scope.</t>
  </si>
  <si>
    <t xml:space="preserve">Install a bathroom exhaust fan with new ducting or wiring</t>
  </si>
  <si>
    <t xml:space="preserve">Guides put this at 2-4 hours with new wiring and ductwork (HomeAdvisor) and 4-8 hours (HomeGuide), over the 3-hour cap and involving electrical and ducting work.</t>
  </si>
  <si>
    <t xml:space="preserve">Install a ceiling fan with new wiring or switches</t>
  </si>
  <si>
    <t xml:space="preserve">G says 2-3 hours when new wiring or switches are needed, outside Fast Fix scope; H notes a Plano handyman page treats electrical work as licensed-only. Only a swap on an existing fan or light box is eligible.</t>
  </si>
  <si>
    <t xml:space="preserve">Set or replace fence or gate posts and footings</t>
  </si>
  <si>
    <t xml:space="preserve">New posts and concrete are out of scope for gate and picket repair; Texas pages also flag Dallas registration for fencing work and possible Houston permits for repairs in city limits.</t>
  </si>
  <si>
    <t xml:space="preserve">Repair foundation or structural cracks (stair-step, horizontal or diagonal)</t>
  </si>
  <si>
    <t xml:space="preserve">Texas clay-soil guides treat hairline cracks under 1/8 in and nail pops as cosmetic, but stair-step or horizontal cracks, and doors that swing on their own or diagonal cracks, need a pro; not Fast Fix eligible.</t>
  </si>
  <si>
    <t xml:space="preserve">Install a smart water shutoff valve</t>
  </si>
  <si>
    <t xml:space="preserve">Insurer discounts mostly reward automatic shutoff valves, which are plumbing installs and out of scope; battery leak sensors alone often earn no discount. Evidence is thin and indirect.</t>
  </si>
  <si>
    <t xml:space="preserve">Just missed the top 100</t>
  </si>
  <si>
    <t xml:space="preserve">Why it did not make it</t>
  </si>
  <si>
    <t xml:space="preserve">Fix a garage door opener sensor, keypad, remote or bottom seal</t>
  </si>
  <si>
    <t xml:space="preserve">Both critics call it popular and eligible (springs and cables excluded), but the merge JSON has no URL for it and no web access was available to source it. Source before adding.</t>
  </si>
  <si>
    <t xml:space="preserve">Install a bidet seat or attachment</t>
  </si>
  <si>
    <t xml:space="preserve">Time and cost are documented (about 30 to 60 minutes by a handyman, one retailer plus a cost guide) but no popularity data was found. Needs an outlet or GFCI nearby.</t>
  </si>
  <si>
    <t xml:space="preserve">Replace faucet, toilet or washer supply lines</t>
  </si>
  <si>
    <t xml:space="preserve">Both critics. Partly covered by 'Fix a leak under a sink' and 'Replace a faucet'; no standalone source.</t>
  </si>
  <si>
    <t xml:space="preserve">Replace a sink drain stopper or pop-up assembly</t>
  </si>
  <si>
    <t xml:space="preserve">Both critics; unsourced in this run.</t>
  </si>
  <si>
    <t xml:space="preserve">Move or rearrange heavy furniture inside the home</t>
  </si>
  <si>
    <t xml:space="preserve">Coverage critic: large marketplace category, but a labor service needing a weight-limit and liability policy; unsourced.</t>
  </si>
  <si>
    <t xml:space="preserve">Repair wobbly or broken furniture (chair, table, bed frame)</t>
  </si>
  <si>
    <t xml:space="preserve">Coverage critic, medium confidence; unsourced.</t>
  </si>
  <si>
    <t xml:space="preserve">Insulate exposed pipes and cover outdoor faucets before a freeze</t>
  </si>
  <si>
    <t xml:space="preserve">Coverage critic: seasonal and local (TX after Winter Storm Uri, CO freezes); unsourced.</t>
  </si>
  <si>
    <t xml:space="preserve">Install garage wall storage (shelves, hooks, bike or ladder racks)</t>
  </si>
  <si>
    <t xml:space="preserve">Both critics; unsourced. No overhead ceiling racks.</t>
  </si>
  <si>
    <t xml:space="preserve">Install or replace a mailbox or house numbers</t>
  </si>
  <si>
    <t xml:space="preserve">Coverage critic; unsourced. No new concrete-set post.</t>
  </si>
  <si>
    <t xml:space="preserve">Swap recessed can lights for LED retrofit trims</t>
  </si>
  <si>
    <t xml:space="preserve">Both critics; no new wiring, about 6 lights per visit; unsourced.</t>
  </si>
  <si>
    <t xml:space="preserve">Install plug-in under-cabinet or LED strip lighting</t>
  </si>
  <si>
    <t xml:space="preserve">Coverage critic; unsourced.</t>
  </si>
  <si>
    <t xml:space="preserve">Flush a water heater (drain only, no gas work)</t>
  </si>
  <si>
    <t xml:space="preserve">Coverage critic, low-medium confidence; unsourced; any gas valve or pilot work is out.</t>
  </si>
  <si>
    <t xml:space="preserve">Install a pet door</t>
  </si>
  <si>
    <t xml:space="preserve">Coverage critic; unsourced. Cutting a new opening in an exterior door is carpentry.</t>
  </si>
  <si>
    <t xml:space="preserve">Fix a shower door that leaks, sticks or has worn sweeps or rollers</t>
  </si>
  <si>
    <t xml:space="preserve">Both critics; unsourced.</t>
  </si>
  <si>
    <t xml:space="preserve">Install a peel-and-stick or small tile backsplash</t>
  </si>
  <si>
    <t xml:space="preserve">Coverage critic, low confidence; unsourced.</t>
  </si>
  <si>
    <t xml:space="preserve">Replace a medicine cabinet or bathroom mirror</t>
  </si>
  <si>
    <t xml:space="preserve">Coverage critic's candidate for the spare slot; unsourced.</t>
  </si>
  <si>
    <t xml:space="preserve">Mount a hose reel</t>
  </si>
  <si>
    <t xml:space="preserve">Fix a bi-fold or closet door that is off its track</t>
  </si>
  <si>
    <t xml:space="preserve">Dropped: its only evidence was a forum thread the spot-check could not reach, and a job with no remaining evidence cannot stay.</t>
  </si>
  <si>
    <t xml:space="preserve">Replace a few damaged floor planks or tiles</t>
  </si>
  <si>
    <t xml:space="preserve">Single family (E), unsourced vendor figure, 150 minutes and often needs matching stock.</t>
  </si>
  <si>
    <t xml:space="preserve">Fix wallpaper seams</t>
  </si>
  <si>
    <t xml:space="preserve">Single family (D), low priority.</t>
  </si>
  <si>
    <t xml:space="preserve">Repair a clothes dryer (belt, thermostat, cord)</t>
  </si>
  <si>
    <t xml:space="preserve">Single family (D); appliance repair mostly judged out of scope by B, C, E.</t>
  </si>
  <si>
    <t xml:space="preserve">Fix a washing machine (hose, filter, leveling)</t>
  </si>
  <si>
    <t xml:space="preserve">Single family (D), 2017 data only.</t>
  </si>
  <si>
    <t xml:space="preserve">Fix a refrigerator door gasket or minor part</t>
  </si>
  <si>
    <t xml:space="preserve">Single family (D); appliance repair mostly judged out of scope.</t>
  </si>
  <si>
    <t xml:space="preserve">Repair a leaking gutter or downspout joint</t>
  </si>
  <si>
    <t xml:space="preserve">Single family (D); ladder-limited and sealant is temporary. Gutter cleaning is now in the catalog.</t>
  </si>
  <si>
    <t xml:space="preserve">Install gutter guards</t>
  </si>
  <si>
    <t xml:space="preserve">Single family (D); ladder-limited and depends on footage.</t>
  </si>
  <si>
    <t xml:space="preserve">Haul away bulky trash or junk</t>
  </si>
  <si>
    <t xml:space="preserve">Single family (E); labor service, needs a truck.</t>
  </si>
  <si>
    <t xml:space="preserve">Trim shrubs or tidy up a yard</t>
  </si>
  <si>
    <t xml:space="preserve">Single family (E); yard work, not a repair.</t>
  </si>
  <si>
    <t xml:space="preserve">Replace a sprinkler head</t>
  </si>
  <si>
    <t xml:space="preserve">Family H only and no sources consulted; Texas irrigator licensing may apply (unverified), so it needs a legal check as well as sourcing.</t>
  </si>
  <si>
    <t xml:space="preserve">Install water leak sensors</t>
  </si>
  <si>
    <t xml:space="preserve">Only a single franchise article was found; no popularity data.</t>
  </si>
  <si>
    <t xml:space="preserve">Replace an outdoor hose bib backflow preventer</t>
  </si>
  <si>
    <t xml:space="preserve">Single family (C); folded into 'Fix a leaking outdoor spigot'.</t>
  </si>
  <si>
    <t xml:space="preserve">Cover a dry, already-repaired ceiling water stain</t>
  </si>
  <si>
    <t xml:space="preserve">Dropped in the final pass: one angle only, and a cosmetic cover-up rather than a repair people book.</t>
  </si>
  <si>
    <t xml:space="preserve">Install a door viewer, kickplate or other door hardware add-on</t>
  </si>
  <si>
    <t xml:space="preserve">Dropped in the final pass: a single mention; a minor add-on to door jobs already on the list.</t>
  </si>
  <si>
    <t xml:space="preserve">Seal gaps and small holes to keep pests out</t>
  </si>
  <si>
    <t xml:space="preserve">Dropped in the final pass: one angle only; edges into pest control.</t>
  </si>
  <si>
    <t xml:space="preserve">Install a wall-mounted stair handrail</t>
  </si>
  <si>
    <t xml:space="preserve">Dropped in the second pass: supported by one research angle only, and replaced by a job with more mentions from angles G, H and I.</t>
  </si>
  <si>
    <t xml:space="preserve">Method and notes</t>
  </si>
  <si>
    <t xml:space="preserve">Scoring inputs (change these and the ranking recalculates)</t>
  </si>
  <si>
    <t xml:space="preserve">Points per independent research angle that lists the job (max 9 angles with evidence)</t>
  </si>
  <si>
    <t xml:space="preserve">Assumption: breadth of independent corroboration matters most, so each research angle counts 10 and each extra citation 1.</t>
  </si>
  <si>
    <t xml:space="preserve">Points per supporting mention (each mention is one source citation in the Evidence sheet)</t>
  </si>
  <si>
    <t xml:space="preserve">Cap on mentions that count toward the score</t>
  </si>
  <si>
    <t xml:space="preserve">Tier A (Core) starts at this score</t>
  </si>
  <si>
    <t xml:space="preserve">Tier B (Common) starts at this score</t>
  </si>
  <si>
    <t xml:space="preserve">Score = angles x B4 + MIN(mentions, B6) x B5.  Tier = Core (&gt;= B7), Common (&gt;= B8), otherwise Frequent.</t>
  </si>
  <si>
    <t xml:space="preserve">About this workbook</t>
  </si>
  <si>
    <t xml:space="preserve">Purpose</t>
  </si>
  <si>
    <t xml:space="preserve">The 100 most requested small home jobs, to be used as the Fast Fix catalog. Fast Fix = one visit of 1 to 3 hours, member has the part, like-for-like swaps and repairs, no gas, no new wiring, no moved water lines, nothing above a standard step ladder.</t>
  </si>
  <si>
    <t xml:space="preserve">What "popular" means here</t>
  </si>
  <si>
    <t xml:space="preserve">Ranking reflects how many independent research angles (and how many sources) list the job as commonly requested, booked, claimed, searched or maintained. It is NOT measured request volume: marketplaces and PreFix keep their real request data private. Treat rank as a well-evidenced starting point and replace it with PreFix's own request data once Fast Fix is live.</t>
  </si>
  <si>
    <t xml:space="preserve">Research date</t>
  </si>
  <si>
    <t xml:space="preserve">2026-10-16 (web research; pages and rankings change)</t>
  </si>
  <si>
    <t xml:space="preserve">How the list was built</t>
  </si>
  <si>
    <t xml:space="preserve">Nine research angles were planned (A to I). 9 of them returned cited evidence (A, B, C, D, E, F, G, H, I). All nine angles returned evidence. A merge editor canonicalized names, removed duplicates and selected 100 Fast Fix-eligible jobs; critics reviewed coverage and eligibility; a finalizer applied fixes; a short extra search pass then added three jobs and extra evidence (angles J and K).</t>
  </si>
  <si>
    <t xml:space="preserve">Typical time</t>
  </si>
  <si>
    <t xml:space="preserve">Typical on-site minutes for the common case. Mostly editorial judgement by the merge and review passes. Used only to decide whether a request is more than a Fast Fix covers. Never shown to members.</t>
  </si>
  <si>
    <t xml:space="preserve">Evidence limits (read this)</t>
  </si>
  <si>
    <t xml:space="preserve">663 of the 680 citations are web-search result snippets (the rest are stakeholder input). The research environment could not open the cited pages (outbound connections to those sites were blocked), so no page was read in full and no figure (percentage, price, ranking) has been checked against the page itself. Every row on the Evidence sheet carries its URL so it can be verified. Treat the ranking as a well-sourced starting point, not audited data.</t>
  </si>
  <si>
    <t xml:space="preserve">Other limits</t>
  </si>
  <si>
    <t xml:space="preserve">Many sources are marketing content from handyman software, insurers and booking companies. No public ranking of most-booked tasks exists for Angi, Thumbtack or TaskRabbit, so popularity is inferred from how many independent angles list a job. Sources are mostly US; Texas and Colorado were checked specifically. Angles J and K (extra searches and the Slack thread) add mentions but are not counted as research angles.</t>
  </si>
  <si>
    <t xml:space="preserve">Research angles</t>
  </si>
  <si>
    <t xml:space="preserve">Code</t>
  </si>
  <si>
    <t xml:space="preserve">Status</t>
  </si>
  <si>
    <t xml:space="preserve">Candidates found</t>
  </si>
  <si>
    <t xml:space="preserve">Sources reviewed</t>
  </si>
  <si>
    <t xml:space="preserve">Limitations reported by the research agent</t>
  </si>
  <si>
    <t xml:space="preserve">Marketplaces and booking platforms</t>
  </si>
  <si>
    <t xml:space="preserve">Returned evidence</t>
  </si>
  <si>
    <t xml:space="preserve">No page was opened. Every WebFetch call failed with a DNS error, and a curl test to Thumbtack was refused by the egress proxy (403, host not allowed). A request to check the proxy status was denied by the permission classifier, so I did not retry or look for a workaround. All evidence therefore comes from WebSearch result summaries, which is why every signal ends in "(snippet)". Those summaries paraphrase pages, mix figures from several pages, and sometimes did not tie a number to one URL. That applies to the Angi outlet and weatherstripping figures, and I flagged them in the notes. Some cited pages are dated: Thumbtack guides are mostly 2024, TaskRabbit's Handyman Services page was reported as about 6.5 years old, and Handy's $59/$79 pricing is from January 2024. Most important: no marketplace publishes a ranked, numeric list of its most-requested handyman jobs. I found no request counts, shares or search volumes for individual tasks. Porch has only 2014 data and HomeAdvisor only 2020-2022 category counts. Yelp and Nextdoor yielded nothing usable. Popularity is therefore inferred from three weaker signals: a dedicated cost guide or category page on a marketplace (TV mounting, furniture assembly, ceiling fan, light fixture, faucet, drywall, door repair, blinds and thermostat have these on at least two platforms), being named in a platform's own task list, and recurring across independent lists. The strongest corroborated jobs are TV mounting, furniture assembly, hanging pictures, mirrors and shelves, ceiling fan and light fixture swaps, faucet work, drywall patching and door repair. Single-source items (toilet seat, smoke detector, air filter, dryer vent, bulbs, Wi-Fi setup, towel bars, closet shelving, cabinet hardware) should rank lower or be cross-checked against other research lenses. The only data-backed local signal is Thumbtack's 2025 holiday-light ranking (Austin 1, Dallas 2, Houston 6, San Antonio 9; Denver was not in the top 10 in the summaries I saw). TaskRabbit, Thimble, Amenify, Ace and Getjobber content is vendor marketing, and Angi says some of its guides are partly automated. Typical-minutes values are TaskRabbit or Handy hints where noted, otherwise my own estimates. Prices are context only and were not used to rank."</t>
  </si>
  <si>
    <t xml:space="preserve">Handyman business guides</t>
  </si>
  <si>
    <t xml:space="preserve">I could not open any web page. Every WebFetch call failed with a DNS error (getaddrinfo ENOTFOUND) on every host I tried: thimble.com, getjobber.com, amenify.com, bobvila.com, joist.com, housecallpro.com and handoff.ai. So all evidence comes from WebSearch result summaries, which are paraphrases and not verbatim quotes. Every signal ends with "(snippet)" for that reason. I also tried one Bash command to read the proxy status and it was denied by the permission classifier. I did not work around that. I made 27 tool calls, a few over the 25 budget, mostly extra searches to get job-level detail.
There is no hard popularity data. I found no search volumes, booking counts or percentages. The only data-backed claim is that Thimble's 2026 list "draws on public search data and Thimble customer data". It gave no figures, and its order (drywall, gutters, fixture replacement, patching and painting, tile, interior painting, deck) is only a general indication. A later search said no precise Thimble volume ranking was visible. Explicit ranks seen: WorkWave #1 faucet leak and #4 light fixture; Amenify #1 furniture assembly; TaskRabbit #1 wall mounting, #2 furniture, #3 caulking; Handyman Connection (2020) first four reasons are fixtures, painting, appliance repair, gutters.
Most sources are handyman-business SEO guides that copy each other, so agreement across them is weak proof of real demand. Several are one author's opinion: the Ace Handyman release (one franchisee), the Bob Vila quote (one contractor) and the Handyman Connection blog. Some are Canadian or Australian (Upcover, HomeStars, Poyst). TaskRabbit is a marketplace and outside my lens. I found no franchise booking data for Mr. Handyman, Handyman Connection or Ace Handyman. The Mr. Handyman honey-do page showed no job list. Handoff, Joist and the full Jobber and Bob Vila lists were seen only in part.
Typical minutes are my own judgement. No source I saw gave durations. Many small jobs are shown at category level only, and a few entries rest on one weak source: heavy mirror, running toilet, cabinet knobs, storm door, microwave. Two of these (the Housecall Pro doorbell and microwave claims) appeared in one search summary and were not reconfirmed later. Common jobs I expected but did not see confirmed in these sources: toilet seat swap, smoke detector install or battery, weatherstripping, grab bars, towel bars and bathroom accessories, baseboard and trim, pet door, shower head swap. Re-run this lens once page fetching works, and read the full Thimble, Jobber, Amenify, Bob Vila and Housecall Pro lists first."</t>
  </si>
  <si>
    <t xml:space="preserve">Warranty claims and inspections</t>
  </si>
  <si>
    <t xml:space="preserve">Every WebFetch call failed (DNS errors, and a direct request to nachi.org was refused by the egress proxy), so I opened no page. Every signal above comes from WebSearch result summaries and is marked '(snippet)'. I did not try to bypass the block. I ran about 26 searches and fetch attempts. The summaries did not always say which result page a statement came from. Where I tied a quote to one URL among several results (the Waypoint caulk quote, the Houston handrail/weather-stripping list, the American Standard figures on a video page, the Home Warranty Association list), the attribution is my best match and should be checked. The American Standard running-toilet (31%) and sink-unclogging (33%) figures appeared in one search and could not be reproduced in a second, so treat them as unconfirmed. Warranty claim data is thin: American Home Shield, Choice, Cinch and Frontdoor publish no claim-category frequencies. The only warranty evidence is secondhand lists (furnace, dishwasher, disposal, toilets, ceiling fans) and vague surveys, and warranty claims skew to big systems and appliances that are out of scope. The strongest small-job evidence is two Repair Pricer datasets (2018 and 2021). They come from a vendor, use different sample sizes and counting methods, and should not be combined. Inspection defect rates measure what inspectors find, not what homeowners book. The ranks I give come from sorting the published percentages, not from a full list I saw. No search volumes or booking counts were seen. The last 3 candidates (exhaust fan, window screen, re-grout) and several others have no or only category-level evidence from this lens and are included on judgement, so weight them accordingly. Typical minutes are my judgement, not sourced. Denver-specific data is nearly absent, and Austin, Dallas and San Antonio had none; only Houston had local items. The sources are mostly US consumer and trade press with no peer review.</t>
  </si>
  <si>
    <t xml:space="preserve">DIY and how-to interest</t>
  </si>
  <si>
    <t xml:space="preserve">WebFetch failed on every host I tried (todayshomeowner.com, familyhandyman.com, hookagency.com, bobvila.com, homedepot.com, thisoldhouse.com, en.wikipedia.org), all with DNS 'getaddrinfo ENOTFOUND', and a Bash call to check the proxy was denied. I therefore opened no page. All evidence comes from WebSearch result summaries, and every signal is marked (snippet). I spent about 31 tool calls, over the budget, trying to compensate with more searches.
Thin data. I found no US search-volume table for job-level queries. The only numeric job-level signals are the Today's Homeowner Google Trends study (10 terms only), the 2017 Google 'how to fix' ranking (doors, windows, toilets, washing machines, refrigerators), and one third-party Amazon weekly volume for TV mounts. Most evidence is editorial listicles from Family Handyman and Bob Vila, which are one publisher's opinions, often years old, and list position is not demand. Lowe's workshop topics reflect a business choice. Cross-listing across many guides is the best proxy I have for popularity (strongest: running toilet, leaky faucet, caulk, drywall patch, weatherstripping, drains, garbage disposal, light switch or outlet).
Unverified or conflicting: the Roto-Rooter claim (faucet repair top in 11 states, running toilet 8, broken window 6) appeared in one search summary and could not be re-confirmed, so I flagged it. Item-to-page attribution within the merged Bob Vila, TOH and Lowe's summaries is approximate.
Bias of the DIY lens: it favors cheap plumbing and caulk fixes people try themselves and under-represents jobs people tend to pay for. I found no evidence at all for furniture assembly, smart device installs (video doorbell, thermostat, smart lock), blinds, toilet seat swaps, cabinet hardware, baby-proofing, or sliding-door repair, so none are in the list. TV mounting, picture hanging, shelves and curtain rods have only weak or non-US evidence. Other families (hiring and booking data) should cover those.
No data specific to Austin, Dallas, Houston, San Antonio or Denver. Minutes are my judgement unless noted. Items needing cure or dry time (drywall, grout, caulk, tile) may not finish in one visit.</t>
  </si>
  <si>
    <t xml:space="preserve">Rental and property maintenance requests</t>
  </si>
  <si>
    <t xml:space="preserve">1) WebFetch failed with DNS errors (getaddrinfo ENOTFOUND) on every host I tried (hemlane.com, tenantcloud.com, upkeep.com, biggerpockets.com, wikipedia.org). I read no page directly. Every signal comes from WebSearch result summaries, so every signal ends with (snippet). A command to inspect proxy status was blocked by the permission system and I did not work around it. 2) The summaries are not tied line by line to URLs. Where a claim came from several pages returned by one search, I cited the best-matching page. This affects RentRedi, Lula and the make-ready checklists most. 3) No dataset in this lens ranks individual jobs. The real counts come from only two companies, Hemlane (193k+ requests, about 185k categorized) and Bay Property Management Group (22,354 requests), and both are self-published vendor or manager data. All other numbers are category-level. Hemlane's own pages disagree slightly (top four = 70% vs 71%). Plumbing is #1 at 25.4% even after the 21.5% 'Other' bucket. So job-level ranking here is inference from category rank plus named examples. Oxmaint and Belong share figures are unsourced or inconsistent, and I did not use them as evidence. 4) I found no request-type data from AppFolio, Buildium, Yardi, Zillow Rental Manager, TurboTenant, Landlord Studio, RentRedi, Latchel or Property Meld. 5) Rental data skews toward what landlords must fix, such as HVAC, plumbing and appliances. It under-represents owner-side jobs like TV mounting, shelf hanging, furniture assembly, blinds and smart-device installs, so this lens should not be used to rank those. 6) Many forum and listicle signals are one author's opinion (Multifamily Insiders, MassLandlords, vendor blogs) and are flagged as such. Corroborated across 3 or more independent sources: smoke/CO detector, dripping faucet, clogged drain, clogged toilet, garbage disposal jam, light bulb, air filter, door repair and lock work. 7) Typical minutes are my judgement, anchored only by Hemlane's Rent Ready+ rule that handyperson jobs run under 4 hours labor and $150 materials. They are not from a source. 8) Local licensing for outlet, fixture and rekey swaps varies by state (TX and CO) and was not checked."</t>
  </si>
  <si>
    <t xml:space="preserve">Memberships, concierge and retailer services</t>
  </si>
  <si>
    <t xml:space="preserve">WebFetch failed on every host I tried with a DNS error (ENOTFOUND), so no page was opened. All evidence comes from WebSearch result summaries, which are paraphrased, not verbatim. Every signal is marked (snippet). I did not diagnose the fetch failure: a read of the proxy README was denied by the permission classifier and I did not work around it. The search budget ran out after about 37 searches, and two final queries (Best Buy camera and light-switch installs; Rebuilding Together's 40-repair list) were refused.
Thin demand data. None of these sources gives national task-level counts or ranks. Real popularity statements are few and old: Amazon 2016 (TV mounting, furniture assembly, treadmill assembly), Handy Thanksgiving weekend 2016, one Mr. Handyman franchise's top 3 (doors, drywall, honey-do), one Ace Handyman owner's list (deck, bathroom caulking, stair, fence), Bob Vila quoting one handyman (drywall, light electrical, light plumbing), a Thimble 2026 list seen only via a search summary, and NAHB remodeler percentages (grab bars). Retailer pages from Lowe's, Home Depot and Best Buy show what is sold, which is supply and not demand, and lean toward appliances, TV mounting and smart-home installs.
Missing from this lens: HomeServe, Frontdoor and Hello Alfred gave no usable small-job lists, and the unlimited-handyman memberships mostly sell hours or visits. Common tasks such as unclogging a drain, replacing a showerhead or toilet seat, hanging towel bars, replacing smoke detector batteries or fixing screens got no evidence here and need other source families.
Attribution risks: the treadmill claim may come from a different Retail Dive article than the one cited. The Bob Vila ranking could sit on either of two Bob Vila URLs. The North Jersey smoke-detector claim could sit on either of two nj211 pages. The Amazon 2016 ranking is reported second-hand through a local TV station. The NAHB 87% figure's year is unclear. Honey Homes jobs come from a third-party listing of its page. Handy's app page was about 227 days old and the Home Depot smart-home page is old. Treat the Mr. Handyman, Ace, Bob Vila and Thimble lists as single-author or single-franchise opinion, and Thimble, Jobber and similar content as SEO marketing. Time estimates are Best Buy's listed times where cited (doorbell 60, thermostat 55, lock 90, basic TV mount 35, full TV setup 90-120) and my own judgement elsewhere.</t>
  </si>
  <si>
    <t xml:space="preserve">Time, cost and scope guides</t>
  </si>
  <si>
    <t xml:space="preserve">I used 19 WebSearch calls and no WebFetch or curl. Every signal comes from search summaries, not page text, so URLs are real but exact wording and some figures may differ on the page. Several statistics could not be tied to one URL and are not cited as signals: toilet replacement ($200-$800), smoke/CO alarm swap ($70-$150), dryer vent cleaning ($100-$250), over-the-range microwave ($200-$600+), handrail install ($350-$1,200), smart lock, holiday lights, baby-proofing. Of those, only the handrail range is repeated in a note, and only in this paragraph: it suggests the stair handrail job may exceed 3 hrs. I found nothing usable for toilet replacement, smoke or CO alarms, dryer vent, microwave, handrail, smart lock, holiday lights, baby-proofing, sliding patio door, window air conditioner, spigot, deck boards, interior door swap, painting or tile, so those jobs carry no new evidence from me. Time figures are thin: most cost guides state price, not hours. Where hours appear they are summary-level, and ceiling fan, garbage disposal, bathroom exhaust fan and flat-pack assembly show ranges that touch or exceed 3 hrs. No new-job nominations are returned: no unlisted job reached 2 citable mentions (weak singles: garbage disposal removal, HomeGuide only; attic or whole-house fans, HomeAdvisor and Angi only). Licensing is flagged only for electrical swaps (check TX/CO rules) and is not confirmed by any source I saw. Austin, Dallas, Houston, San Antonio and Denver pricing was mostly unavailable; only TaskRabbit Dallas/Fort Worth, Thumbtack Frisco and an Austin toilet guide were in-market.</t>
  </si>
  <si>
    <t xml:space="preserve">Regional, seasonal and emerging demand</t>
  </si>
  <si>
    <t xml:space="preserve">WebSearch returned synthesized per-query summaries with links, not raw page snippets, and WebFetch was unavailable. A signal is therefore a paraphrase of what the summary said a page contained, and I could not open any page to confirm. I ran 20 searches, about 2 over the budget of 18. No demand ranking or volume figure for Austin, Dallas, Houston, San Antonio or Denver was found. A Thumbtack or Angi 2025-26 trend report on smart doorbells, locks or cameras was not found, so emerging-demand evidence is market-level (Parks, Freedonia) or indirect. Weak coverage: Denver (thin; hail, HOA rules and sprinkler issues were not covered, and the sprinkler query never ran); leak-sensor demand (insurer-driven, mostly about shutoff valves); handrails, baby gates, furniture anchoring, window screens, cameras and holiday lights (no usable attributed evidence). Time evidence is thin: only grab bars (20 to 60 min per bar) and a baby-proofing range (4 to 14 hours whole-home, low-quality mirror pages) had stated durations. No per-device install times were found for thermostats, doorbells or smart locks. Attribution caveats: where one summary cited several pages, I tied a claim to a URL only when the text or title pointed to it. Best-match attributions: TaskRabbit San Antonio page, the Housecall Pro Texas licensing page, the CBS Colorado spigot point, and the grabbars.com 30 to 60 minute figure. Claims I could not tie to a URL were left out of mentions: an Austin list (leaky faucets, drywall after weather, ceiling fans), a Colorado guide (sticking doors, cabinets, knobs), AC condensate-line flushing (single source), smart thermostat market growth, and gate and strap prices. Licensing flags from the results: a Plano handyman page says HVAC and electrical work need licensed specialists; Texas pages say Dallas requires registration for fencing work and Houston may require a permit for repairs in city limits; Colorado has no state handyman license. Those are as reported and not verified against the city or state sources.</t>
  </si>
  <si>
    <t xml:space="preserve">Search demand</t>
  </si>
  <si>
    <t xml:space="preserve">I used about 18 WebSearch calls and found job-level evidence for only 17 of the 100 listed jobs, well short of the 30 target. I found no strong new job nominations: nothing reached two job-level mentions outside the current list. No Google Trends write-up or 'most searched handyman services' report with job-level rankings turned up. No US monthly volume surfaced for several jobs: 'tv mounting service', 'ceiling fan installation', 'drywall repair', door lock repair or rekey, faucet replacement, light fixture or outlet replacement, caulking and others. The keyword-table sources (MarketKeep, RankHero, SEOJuice) were cut off or showed only broad terms. WebSearch returned summaries rather than raw rows, so I could not open any page to see more rows. Many figures are how-to query volumes (informational intent, not people hiring someone). Several are UK data (IFA Magazine) or Amazon product-search proxies (ASINSIGHT, EcomCrew), and each is labeled that way in its signal. The BigRentz/Ahrefs figures are undated and reached me only through secondary coverage. Hook Agency's ranking is category-level, so I attached it to smart-home install jobs only as a weak category signal. The unclog-drain figures are for generic drain queries, not sink or shower. Some URL-to-figure matches depend on which result the search summary referred to. None of my sources gave job durations, so typical_minutes is null throughout. Every signal comes from a snippet or search summary only; I opened no pages (WebFetch unavailable)."</t>
  </si>
  <si>
    <t xml:space="preserve">Extra web searches after the review pass</t>
  </si>
  <si>
    <t xml:space="preserve">Added after review</t>
  </si>
  <si>
    <t xml:space="preserve">A short set of extra web searches run by hand after the review pass (TaskRabbit, Thumbtack, warranty, garage door, lock results). Search snippets only.</t>
  </si>
  <si>
    <t xml:space="preserve">Stakeholder input (Fast Fix Slack thread)</t>
  </si>
  <si>
    <t xml:space="preserve">Job names the stakeholders gave as examples (running toilet, clogged toilet, door lock issue, disposal issue, appliance diagnostic).</t>
  </si>
  <si>
    <t xml:space="preserve">Checks before launch (from the eligibility reviewer; not verified against sources, not legal advice)</t>
  </si>
  <si>
    <t xml:space="preserve">Licensing</t>
  </si>
  <si>
    <t xml:space="preserve">Like-for-like electrical and plumbing swaps (light fixtures, outlets, faucets, toilets, disposals, dishwashers) may count as licensed work in Texas and Colorado even though no wiring or pipe is moved. Get written legal sign-off for each state before launch.</t>
  </si>
  <si>
    <t xml:space="preserve">Lead paint</t>
  </si>
  <si>
    <t xml:space="preserve">Paid work that disturbs painted surfaces in homes built before 1978 can fall under the EPA lead-safe rule. Ask the build year at booking for paint, patch, trim and caulk jobs.</t>
  </si>
  <si>
    <t xml:space="preserve">Ladder height</t>
  </si>
  <si>
    <t xml:space="preserve">Several jobs (bulbs, fans, chandeliers, window work, exterior caulk, gutters) can exceed a standard step ladder. Ask ceiling height and number of stories at booking.</t>
  </si>
  <si>
    <t xml:space="preserve">Heavy lifts</t>
  </si>
  <si>
    <t xml:space="preserve">Toilets, dishwashers, over-the-range microwaves, big TVs and sliding doors need a second adult for lifting.</t>
  </si>
  <si>
    <t xml:space="preserve">Structural signs</t>
  </si>
  <si>
    <t xml:space="preserve">Wide or stair-step cracks, rotted framing and sagging stairs are referrals, not Fast Fix. Texas clay soils make recurring cracks common.</t>
  </si>
  <si>
    <t xml:space="preserve">Gas and high tension</t>
  </si>
  <si>
    <t xml:space="preserve">No gas appliance work. Garage door springs and cables are never Fast Fix.</t>
  </si>
  <si>
    <t xml:space="preserve">Editorial notes from the merge and review</t>
  </si>
  <si>
    <t xml:space="preserve">SECOND PASS (angles G, H and I rerun after the first pass ran out of search budget).</t>
  </si>
  <si>
    <t xml:space="preserve">Second research pass (angles G time/cost/scope, H regional/seasonal/emerging, I search demand) added 190 citations to existing jobs. Every URL was checked against what the research agents actually returned.</t>
  </si>
  <si>
    <t xml:space="preserve">Typical time for "Replace a garbage disposal" changed from 90 to 120 minutes. G typical_minutes 120, which is 30 above the listed 90. Sources disagree: HomeGuide bases labor on 2 hours, HomeAdvisor says about 1 hour, Fixr assumes 3 hours; 120 is the median of the three. Hardwired units may need an electrician.</t>
  </si>
  <si>
    <t xml:space="preserve">Typical time for "Hang curtain rods and curtains" changed from 45 to 90 minutes. G typical_minutes 90, which is 45 above the listed 45. Basis is a single Thumbtack Frisco customer report of two curtain rods re-hung in about 1.5 hours for $40 (two workers), so the evidence is thin.</t>
  </si>
  <si>
    <t xml:space="preserve">Typical time for "Assemble flat-pack furniture" changed from 120 to 150 minutes. G typical_minutes 150, which is 30 above the listed 120. TaskRabbit says furniture assembly typically takes 1-4 hours depending on size and complexity (midpoint 2.5 hours); multi-item bookings can exceed 3 hours.</t>
  </si>
  <si>
    <t xml:space="preserve">Typical time for "Replace a deadbolt or door lock" changed from 45 to 90 minutes. G typical_minutes 90, which is 45 above the listed 45. HomeServe says a pro installs within a couple of hours, and guides put installation at 1-2 hours; the Angi locksmith costs article was also returned for the lock install query.</t>
  </si>
  <si>
    <t xml:space="preserve">Replaced "Install a wall-mounted stair handrail" with "Winterize outdoor faucets and wrap exposed pipes before a freeze" (Four H mentions across TX and CO freeze coverage, seasonal with no new lines, replacing a single-angle (F) job with no new evidence this pass; the 60-minute figure is an estimate because no source states a time.). Time is an estimate; no source states one.</t>
  </si>
  <si>
    <t xml:space="preserve">Folded the sagging/dragging gate finding into the existing gate job (renamed from "Repair a gate latch or replace a few fence pickets") instead of adding a near-duplicate; "Replace a range hood" stays in the list.</t>
  </si>
  <si>
    <t xml:space="preserve">EDITS AFTER THE REVIEW PASS (made by hand from a short extra search).</t>
  </si>
  <si>
    <t xml:space="preserve">Dropped "Cover a dry, already-repaired ceiling water stain": one angle only, and a cosmetic cover-up rather than a repair people book.</t>
  </si>
  <si>
    <t xml:space="preserve">Dropped "Install a door viewer, kickplate or other door hardware add-on": a single mention; a minor add-on to door jobs already on the list.</t>
  </si>
  <si>
    <t xml:space="preserve">Dropped "Seal gaps and small holes to keep pests out": one angle only; edges into pest control.</t>
  </si>
  <si>
    <t xml:space="preserve">Added "Fix a door lock that sticks or will not turn" (stakeholder example and/or coverage-critic runner-up, with extra search evidence).</t>
  </si>
  <si>
    <t xml:space="preserve">Added "Diagnose an appliance that is not working" (stakeholder example and/or coverage-critic runner-up, with extra search evidence).</t>
  </si>
  <si>
    <t xml:space="preserve">Added "Fix a garage door opener keypad, remote or safety sensor" (stakeholder example and/or coverage-critic runner-up, with extra search evidence).</t>
  </si>
  <si>
    <t xml:space="preserve">Added extra evidence to "Mount a TV on the wall": TaskRabbit (home page) and Sunset on Thumbtack summer 2024 ranking.</t>
  </si>
  <si>
    <t xml:space="preserve">Added extra evidence to "Assemble flat-pack furniture": TaskRabbit (home page) and Sunset on Thumbtack summer 2024 ranking.</t>
  </si>
  <si>
    <t xml:space="preserve">Added extra evidence to "Hang pictures or wall art": TaskRabbit (home page).</t>
  </si>
  <si>
    <t xml:space="preserve">Added extra evidence to "Install floating shelves or wall shelves": TaskRabbit (home page).</t>
  </si>
  <si>
    <t xml:space="preserve">WHAT THE EXTRA SEARCH DID NOT FIND.</t>
  </si>
  <si>
    <t xml:space="preserve">No public ranking of the most-booked tasks exists for TaskRabbit, Angi or Thumbtack; the data-backed signals are cumulative task counts (TaskRabbit) and a 2024 indoor project ranking (Thumbtack via Sunset). No reliable breakdown of warranty claims for washers, dryers or ovens was found. Lock and key requests were not quantified in rental maintenance data.</t>
  </si>
  <si>
    <t xml:space="preserve">ORIGINAL FINALIZER NOTES.</t>
  </si>
  <si>
    <t xml:space="preserve">HOW THIS WAS BUILT. Search and fetch were unavailable: the WebSearch budget was already used up and WebFetch failed with DNS errors (ENOTFOUND) on a retest. So no family J evidence was added and no URL was added or altered; every URL below appears in the merge JSON. Because a swap-in needs evidence, I only made swap-ins that existing URLs support. The critics' other ideas are in runners_up marked as needing sourcing. All 25 spot-check items were unreachable (none unsupported), so each was kept wherever its job has other evidence.</t>
  </si>
  <si>
    <t xml:space="preserve">1. GROUP NAME. Restored 'Lighting &amp; Electrical Swaps' (the merge had renamed it) so all ten names match the required list. Final sizes: Plumbing 13, Doors &amp; Locks 11, Walls Paint &amp; Tile 10, Mounting &amp; Hanging 8, Lighting &amp; Electrical Swaps 14, Kitchen &amp; Appliances 12, Furniture &amp; Assembly 7, Windows &amp; Blinds 7, Home Care &amp; Safety 10, Outdoors &amp; Other 8 (total 100).</t>
  </si>
  <si>
    <t xml:space="preserve">2. MERGED (duplicates). Door will not latch into the sticking-door job; faucet aerator into the leaky-faucet job (now 'leaky or low-flow'); smart light switch into the switch or dimmer job; sticking or worn drawers into the cabinet door, hinge or drawer job; treadmill into outdoor equipment (now 'grill, patio set or exercise equipment'); Christmas tree and decor into holiday lights; the weak-flush runner-up into the running-toilet covers.</t>
  </si>
  <si>
    <t xml:space="preserve">3. DROPPED. Bi-fold or closet door off its track. Its only evidence was a forum thread the spot-check could not reach, and unreachable items are kept only when the job has other evidence. It is listed in runners_up.</t>
  </si>
  <si>
    <t xml:space="preserve">4. SPLIT (distinct bookable intents, each backed by evidence already in the merge JSON). Chirping alarm vs replacing alarms (Avail 'detector chirps', iPropertyManagement, Home Depot battery guide); tightening a loose knob vs replacing it (This Old House, Bob Vila); re-grouting vs replacing tiles (Family Handyman).</t>
  </si>
  <si>
    <t xml:space="preserve">5. SWAP-INS. Paint a single door, accent wall or small area (reworded from referred-out 'Paint a whole room'; it uses the general painting-demand sources OnePoll, M Report, Bob Vila and iPropertyManagement, and the signal text says they describe whole-room demand). Gutter cleaning, single-story step-ladder version, merged into the downspout job (it has one booking-side source, Jobber, plus three drainage data points). Doorbell button or chime and door viewer or kickplate (runners_up, one source each). Repair or restring blinds (both critics, one rental-damage source). All of these rank in the bottom third and are low confidence.</t>
  </si>
  <si>
    <t xml:space="preserve">6. CRITIC ADVICE NOT APPLIED, AND WHY. Folding bed frame, desk and dresser into the flat-pack job (both critics) would have left Furniture &amp; Assembly with 4 jobs against the 7-job minimum, and no sourced replacements exist. The three stay as SKU-level jobs, the flat-pack job was narrowed to shelves, nightstands, TV stands, tables and chairs so scopes no longer overlap, and all three sit in the single-family tail. For the same reason (group minimums, no sourced replacement) I did not fold chandelier into light fixture, baby gates into baby-proofing, handrail repair into handrail install, trim into siding, microwave into range hood, soundbar or masonry TV mount into TV mount, or window weatherstripping into caulking, and I kept the three jobs the coverage critic wanted cut (ceiling stain, night lights, broken pane), rewording them to the eligible case instead. 'Take apart and reassemble' is kept and reworded (coverage critic) rather than dropped (eligibility critic). The coverage critic's request to demote garbage disposal swap was not applied: it has six evidence families, including Thumbtack, Lowe's and Home Depot install pages, and ranks 6.</t>
  </si>
  <si>
    <t xml:space="preserve">7. GROUP MOVES. 'Anchor furniture or a TV to the wall' moved from Home Care &amp; Safety to Furniture &amp; Assembly; 'Install a window air conditioner' moved from Windows &amp; Blinds to Kitchen &amp; Appliances.</t>
  </si>
  <si>
    <t xml:space="preserve">8. ELIGIBILITY REWORDS AND MINUTES. All eligibility rewordings were applied: ceiling-height caps, like-for-like and existing-box limits, helper present for lifts, one-fixture drain scope, opening and item caps, stop conditions. Minutes changed: ceiling fan 90 to 120; interior door 120 to 150; dripping shower or tub faucet 60 to 90; sliding patio door 60 to 90; baby-proofing 90 to 120; exterior trim 90 to 120; dresser or bookcase 75 to 120; stair handrail install 90 to 120; ceiling stain 60 to 90; grill or exercise equipment 90 to 120; chandelier 90 to 120; range hood 90 to 120; dishwasher leak or drain 60 to 75; pest sealing 60 to 75; thermostat 45 to 60; switch or dimmer 30 to 45; outdoor light 45 to 60; flat-pack assembly 90 to 120; gutters and downspouts 30 to 90. Dishwasher replacement stays 150 with a stated 3-hour hard stop.</t>
  </si>
  <si>
    <t xml:space="preserve">9. EVIDENCE EDITS. Where one job listed the same URL under two families, I kept one item and folded the other's signal into it, so each page is counted once. This hit the Bob Vila handyman list (5 jobs), the Ace Handyman HelloNation release (3), Thimble (2) and the TaskRabbit blog (3). I removed the Upcover item (it concerns toilets) from Unclog a sink drain. Items that say 'not reproduced' (OnePoll running toilet 31%) or 'unconfirmed' (Roto-Rooter broken window) stay with their caveat but score zero. Items that say 'not itemized', or are forum or unsourced, score half. Some general items (Mr. Handyman drywall line, painting-demand sources, Jobber tiling) were reused on the job they actually support. The HomeServe 2024 survey URL appears with two spellings in the merge JSON (new-homeserve-survey in the toilet job, new-homeowner-survey in the thermostat job); both were left as given and need a check.</t>
  </si>
  <si>
    <t xml:space="preserve">10. RANKING (computed by script). Score = 2.0 x family credit (each of A-F or J counts 1 if a fully supporting item exists, 0.5 if only partly) + 2.0 x distinct booking-side sources (A marketplaces, B operator lists, F retailer or franchise service pages; capped at 6) + 0.75 x distinct demand-data sources (C inspection and survey data, D search and how-to interest, E rental request data; capped at 6). Jobs with fewer than two supported families are ranked after all others (ranks 76 to 100). Booking-side evidence is weighted above demand data because Fast Fix is a booking product. TV mounting is now rank 14, flat-pack assembly 16, picture hanging 17, blinds 18 and shelves 19 (they were 25 to 29). Curtain rods are 39, because they have only three families.</t>
  </si>
  <si>
    <t xml:space="preserve">11. LOW CONFIDENCE. 25 jobs (ranks 76 to 100) rest on one family: baby gates, grab bars, night lights, anchor furniture, bed frame, desk, dresser or bookcase, grill or exercise equipment, washer or dryer hookup, towel bar, stair handrail install, chandelier, concrete cracks, door viewer, doorbell button, range hood, outdoor light, take apart furniture, broken pane, squeaky floor, siding patch, stove element, ceiling stain, blinds repair and pest sealing. General caveats: all evidence is search-snippet level; cost guides show a job exists, not how it ranks; the Honey Homes source is a third-party listing; Handy 2016 and Amazon 2022 items are dated; Upcover is Australian and DIY Week is UK.</t>
  </si>
  <si>
    <t xml:space="preserve">12. LAUNCH GATES (from the eligibility critic's own knowledge, not verified here; all need legal review). (a) Texas and Colorado electrician and plumber licensing may cover paid like-for-like swaps and drain clearing; Texas locksmith rules for rekey. (b) EPA lead-safe rules for paid work disturbing paint in pre-1978 homes: ask the build year at booking. (c) Ladder rule: ask ceiling height and stories; decline vaulted, two-story foyer and second-story exterior work. (d) Heavy lifts (toilet, dishwasher, TVs over 55 inches, microwave, range hood, window AC, sliding-door rollers) need an adult helper present. (e) Stop-work triggers for electrical swaps: aluminum or cloth wiring, no ground, no neutral for smart switches, loose or unrated box.</t>
  </si>
  <si>
    <t xml:space="preserve">13. LISTS. referred_out keeps all 32 earlier entries (reasons edited for paint, gutters and garage door) and adds six: TV above a fireplace, cable hiding inside walls, double-pane or upper-floor glass, first-time appliance installs, stair tread or post replacement, and jobs above a step ladder. runners_up drops the entries now used (weak-flush toilet, doorbell button or chime, door peephole) and adds the critics' unsourced ideas.</t>
  </si>
  <si>
    <t xml:space="preserve">Agent reported it usable?</t>
  </si>
  <si>
    <t xml:space="preserve">TaskRabbit (cost guides, service pages, 2024 trend post, handyman blog)</t>
  </si>
  <si>
    <t xml:space="preserve">Yes</t>
  </si>
  <si>
    <t xml:space="preserve">Search results only; no page opened. Gave prices, time hints and service lists. No published request-volume ranking. A TV guide FAQ has a placeholder (snippet).</t>
  </si>
  <si>
    <t xml:space="preserve">Thumbtack (cost guides, category pages, 2025 Most Festive Cities)</t>
  </si>
  <si>
    <t xml:space="preserve">Search results only. Many dedicated cost guides, mostly 2024 or older. No ranked list of most-booked handyman jobs. Festive Cities is the only ranking, and it covers holiday lights only.</t>
  </si>
  <si>
    <t xml:space="preserve">Angi (cost guides, handyman articles, State of Home Spending)</t>
  </si>
  <si>
    <t xml:space="preserve">Search results only. Many dedicated 2026 cost guides with city pages. No handyman request ranking. State of Home Spending data covers whole-home projects. Angi says some guides are partly automated.</t>
  </si>
  <si>
    <t xml:space="preserve">Search results only. Dedicated TV mounting and hanging pictures and shelves pages. Bookings now run through the Handy app. Frontdoor was not confirmed.</t>
  </si>
  <si>
    <t xml:space="preserve">Airtasker US</t>
  </si>
  <si>
    <t xml:space="preserve">Search results only. Per-task price bands for hanging, assembly, TV and shelves. No ranking.</t>
  </si>
  <si>
    <t xml:space="preserve">Bark US</t>
  </si>
  <si>
    <t xml:space="preserve">https://www.bark.com/en/us/handyman/</t>
  </si>
  <si>
    <t xml:space="preserve">Thin. Handyman listings mention TV mounting, lighting, fans, outlets, assembly. No ranking.</t>
  </si>
  <si>
    <t xml:space="preserve">Thimble blog (most requested handyman services)</t>
  </si>
  <si>
    <t xml:space="preserve">Not a marketplace. Says it combines public search data with its own customer data. Method and numbers not shown, and the list leans to larger jobs.</t>
  </si>
  <si>
    <t xml:space="preserve">Amenify (top handyman tasks blog)</t>
  </si>
  <si>
    <t xml:space="preserve">Not a marketplace. Only a search summary of its 'most requested' list; the full article was not read and no booking data was seen.</t>
  </si>
  <si>
    <t xml:space="preserve">Ace Handyman Services via HelloNation / PR Newswire (2026)</t>
  </si>
  <si>
    <t xml:space="preserve">Franchise PR, one source's opinion, no data.</t>
  </si>
  <si>
    <t xml:space="preserve">Getjobber, Upcover, InstaService, Joist, Handoff handyman lists</t>
  </si>
  <si>
    <t xml:space="preserve">No</t>
  </si>
  <si>
    <t xml:space="preserve">Contractor-marketing listicles seen only in search summaries. Used only as weak extras.</t>
  </si>
  <si>
    <t xml:space="preserve">HomeAdvisor cost guide (Wayback snapshots)</t>
  </si>
  <si>
    <t xml:space="preserve">https://webcf.waybackmachine.org/web/20220816230350/https://www.homeadvisor.com/cost</t>
  </si>
  <si>
    <t xml:space="preserve">Only 2020-2022 archive snapshots surfaced. Handyman had 109,026 projects in Aug 2022 (snippet), but no per-task counts and no total, so no ranking.</t>
  </si>
  <si>
    <t xml:space="preserve">Porch</t>
  </si>
  <si>
    <t xml:space="preserve">https://www.woodworkingnetwork.com/news/press-releases/most-popular-remodeling-search-terms-2014-porchcom</t>
  </si>
  <si>
    <t xml:space="preserve">Only 2014 data (handyman was 3rd most-searched pro) and an undated survey. Too old and not task-level.</t>
  </si>
  <si>
    <t xml:space="preserve">Nextdoor</t>
  </si>
  <si>
    <t xml:space="preserve">https://ir.angi.com/node/8256</t>
  </si>
  <si>
    <t xml:space="preserve">No task ranking found. An Angi investor release says about 20% of Nextdoor posts are local-service recommendation requests.</t>
  </si>
  <si>
    <t xml:space="preserve">Yelp</t>
  </si>
  <si>
    <t xml:space="preserve">https://www.yelp.com/</t>
  </si>
  <si>
    <t xml:space="preserve">Searched; no Yelp handyman request data surfaced.</t>
  </si>
  <si>
    <t xml:space="preserve">Direct page reads with WebFetch</t>
  </si>
  <si>
    <t xml:space="preserve">Every WebFetch call failed with a DNS error (ENOTFOUND) across TaskRabbit, Thumbtack, Angi, Thimble, Amenify, Joist, Jobber and Wikipedia. A curl check to Thumbtack was refused by the proxy (host not allowed).</t>
  </si>
  <si>
    <t xml:space="preserve">Thimble: most requested handyman services (2026)</t>
  </si>
  <si>
    <t xml:space="preserve">Page did not open. Search summary says list uses public search data plus Thimble customer data; seven categories, drywall first. No numbers seen.</t>
  </si>
  <si>
    <t xml:space="preserve">Jobber: 30+ handyman services list</t>
  </si>
  <si>
    <t xml:space="preserve">Page did not open. Snippet-level only: a high-demand list and a services list, no counts.</t>
  </si>
  <si>
    <t xml:space="preserve">Jobber Academy: 20-service list</t>
  </si>
  <si>
    <t xml:space="preserve">Page did not open. Snippet mentions door hardware and screen repair.</t>
  </si>
  <si>
    <t xml:space="preserve">Amenify: top 10 handyman tasks</t>
  </si>
  <si>
    <t xml:space="preserve">Page did not open. Only furniture assembly as #1 and a few top requests seen; the rest of the 10 not seen.</t>
  </si>
  <si>
    <t xml:space="preserve">Bob Vila: handyman services list (21 jobs) and hiring guide</t>
  </si>
  <si>
    <t xml:space="preserve">Page did not open. Only categories and a quoted contractor seen; not the full 21.</t>
  </si>
  <si>
    <t xml:space="preserve">Housecall Pro: handyman list ideas (25 services)</t>
  </si>
  <si>
    <t xml:space="preserve">Page did not open. Only drywall, interior painting and smart home seen. A later search could not confirm microwave or doorbell claims.</t>
  </si>
  <si>
    <t xml:space="preserve">Housecall Pro: handyman contract template</t>
  </si>
  <si>
    <t xml:space="preserve">Page did not open. Summary lists door hinges and jambs, drywall, fixtures and appliances, caulking.</t>
  </si>
  <si>
    <t xml:space="preserve">Joist: handyman services list</t>
  </si>
  <si>
    <t xml:space="preserve">https://www.joist.com/blog/handyman-services-list/</t>
  </si>
  <si>
    <t xml:space="preserve">Page did not open. Only a general 'aesthetic improvements and minor repairs' line seen; no job list.</t>
  </si>
  <si>
    <t xml:space="preserve">Handoff: handyman services list ultimate guide</t>
  </si>
  <si>
    <t xml:space="preserve">Page did not open. Intro and a few painting-related items only; list not seen.</t>
  </si>
  <si>
    <t xml:space="preserve">WorkWave: handyman services list (21 services)</t>
  </si>
  <si>
    <t xml:space="preserve">Page did not open. Only item #1 (faucet leak) and #4 (light fixture and fans) seen.</t>
  </si>
  <si>
    <t xml:space="preserve">ServiceTitan: handyman services list (25)</t>
  </si>
  <si>
    <t xml:space="preserve">Page did not open. Only a few entries seen: baby gates, securing furniture, electrical, plumbing.</t>
  </si>
  <si>
    <t xml:space="preserve">Handyman Connection blog: 5 most common reasons to call a handyman (2020)</t>
  </si>
  <si>
    <t xml:space="preserve">Page did not open. First four reasons seen, fifth not. One franchise's 2020 blog, not data.</t>
  </si>
  <si>
    <t xml:space="preserve">Ace Handyman via HelloNation / PR Newswire (May 2026)</t>
  </si>
  <si>
    <t xml:space="preserve">Page did not open. One franchisee's opinion; deck repair, bathroom caulking, stair repair, fence repair. No call volumes.</t>
  </si>
  <si>
    <t xml:space="preserve">InstaService: what a handyman does</t>
  </si>
  <si>
    <t xml:space="preserve">Page did not open. One sentence listing common tasks seen.</t>
  </si>
  <si>
    <t xml:space="preserve">TaskRabbit: 10 common handyman tasks to outsource</t>
  </si>
  <si>
    <t xml:space="preserve">Page did not open. Items #1 to #3 seen. A marketplace, outside the handyman-guide lens, and its own marketing copy.</t>
  </si>
  <si>
    <t xml:space="preserve">Upcover: most requested handyman services (Australia)</t>
  </si>
  <si>
    <t xml:space="preserve">Page did not open. Australian market; plumbing and gutter themes only.</t>
  </si>
  <si>
    <t xml:space="preserve">Invoicefly: handyman services guides</t>
  </si>
  <si>
    <t xml:space="preserve">Page did not open. Babyproofing and minor plumbing mentions only.</t>
  </si>
  <si>
    <t xml:space="preserve">HomeAdvisor service pages (mount TV, ceiling fan, doors, storm door, window AC, small projects)</t>
  </si>
  <si>
    <t xml:space="preserve">https://www.homeadvisor.com/tloc/Cranston-RI/Mount-Tv-Fixed-Price</t>
  </si>
  <si>
    <t xml:space="preserve">Pages did not open. Only titles seen, which shows a dedicated page exists but no volume.</t>
  </si>
  <si>
    <t xml:space="preserve">Mr. Handyman: winter honey-do list blog</t>
  </si>
  <si>
    <t xml:space="preserve">https://mrhandyman.com/dover-portsmouth-rochester/about-us/ask-a-pro/2020/december/what-s-on-your-winter-honey-do-list-</t>
  </si>
  <si>
    <t xml:space="preserve">Page did not open. Search summary said it names no most-requested jobs.</t>
  </si>
  <si>
    <t xml:space="preserve">Handy: smart thermostat install page</t>
  </si>
  <si>
    <t xml:space="preserve">Page did not open. Title only; shows a standalone bookable service.</t>
  </si>
  <si>
    <t xml:space="preserve">BuildZoom: handyman and garbage disposal answer</t>
  </si>
  <si>
    <t xml:space="preserve">Page did not open. Forum answer, not data.</t>
  </si>
  <si>
    <t xml:space="preserve">Handyman Connection Kitchener (Poyst) and Ottawa (HomeStars) branch listings</t>
  </si>
  <si>
    <t xml:space="preserve">Pages did not open. Canadian branch service lists only.</t>
  </si>
  <si>
    <t xml:space="preserve">Repair Pricer 15,000-report analysis (repairpricer.com top 10 repairs)</t>
  </si>
  <si>
    <t xml:space="preserve">Best data in this lens: a top-10 list with percentages. Seen only via search summary; the page fetch was blocked. Vendor data; 2018 sample.</t>
  </si>
  <si>
    <t xml:space="preserve">Repair Pricer 50,000-report study (PR Newswire, PA Realtors, PDF)</t>
  </si>
  <si>
    <t xml:space="preserve">Larger sample but a different counting method, so the percentages (about 55%) are not comparable to the 2018 ones. Search summary only.</t>
  </si>
  <si>
    <t xml:space="preserve">Ranks DIY demand by video views; only door repair, toilet repair and kitchen cabinet repair were visible. Full top 10 not seen. Date uncertain (about 2024).</t>
  </si>
  <si>
    <t xml:space="preserve">Frontdoor DIY statistics page and Google search report</t>
  </si>
  <si>
    <t xml:space="preserve">https://frontdoor.com/blog/handyman-tips/diy-statistics</t>
  </si>
  <si>
    <t xml:space="preserve">Search summary showed project-type interest (chicken coops, raised beds, saunas), not repairs.</t>
  </si>
  <si>
    <t xml:space="preserve">HomeServe homeowner surveys (2020, 2024, 2025)</t>
  </si>
  <si>
    <t xml:space="preserve">Emergency repair rates; useful for toilets/sinks/pipes/HVAC. Not a list of small jobs. The 2025 figures were in a search summary with no URL that I could confirm, so I did not cite them.</t>
  </si>
  <si>
    <t xml:space="preserve">InterNACHI-hosted inspector survey (nachi.org ten problems)</t>
  </si>
  <si>
    <t xml:space="preserve">Undated. Only the top 3 percentages were visible (grading 35.8%, wiring 19.9%, roof 8.5%). Host blocked at the egress proxy, so I could not open it.</t>
  </si>
  <si>
    <t xml:space="preserve">American Home Shield (home maintenance statistics page; claims)</t>
  </si>
  <si>
    <t xml:space="preserve">https://www.ahs.com/home-matters/homebuyer-hub-resources-and-guides/home-maintenance-issues-statistics/</t>
  </si>
  <si>
    <t xml:space="preserve">No claim-category frequencies published. Only survey context (electrical 71%, roofing 52%, HVAC 49%, plumbing 46% least DIY-confident) and a 2022 $4B paid-claims total.</t>
  </si>
  <si>
    <t xml:space="preserve">Choice Home Warranty (news and reviews)</t>
  </si>
  <si>
    <t xml:space="preserve">https://www.wtkr.com/money/consumer/dont-waste-your-money/popular-home-warranty-company-now-has-over-5k-complaints</t>
  </si>
  <si>
    <t xml:space="preserve">Complaint stories only; reviews mention HVAC, plumbing and appliances. No claim breakdown.</t>
  </si>
  <si>
    <t xml:space="preserve">Cinch Home Services</t>
  </si>
  <si>
    <t xml:space="preserve">Searched in a combined query; nothing relevant surfaced.</t>
  </si>
  <si>
    <t xml:space="preserve">Only a category mix, relayed secondhand (about 49% systems, about 40% appliances). No small-job detail.</t>
  </si>
  <si>
    <t xml:space="preserve">Home Warranty Association list via blog; Home Services MSP 2012 blog</t>
  </si>
  <si>
    <t xml:space="preserve">Secondhand and old, with no percentages. Names furnace, dishwasher, disposal, toilets, ceiling fans. Directional only.</t>
  </si>
  <si>
    <t xml:space="preserve">WorldMetrics and WiFiTalents home warranty statistics</t>
  </si>
  <si>
    <t xml:space="preserve">https://worldmetrics.org/home-warranty-industry-statistics/</t>
  </si>
  <si>
    <t xml:space="preserve">Aggregator pages with uncited figures (such as 60% plumbing, 11% refrigerators) that conflict with other sources. Excluded.</t>
  </si>
  <si>
    <t xml:space="preserve">Redfin inspection articles (top 10 problems; new construction)</t>
  </si>
  <si>
    <t xml:space="preserve">Big-ticket problems mostly; used only for category mentions such as sticking windows and drafty doors. No percentages seen.</t>
  </si>
  <si>
    <t xml:space="preserve">NAR / Clever Real Estate new-home inspection survey</t>
  </si>
  <si>
    <t xml:space="preserve">https://www.nar.realtor/news/real-estate-news/most-common-inspection-problems-uncovered-in-new-homes</t>
  </si>
  <si>
    <t xml:space="preserve">Headline stats only (65% found issues, 24% failed first inspection). Per-category percentages not visible.</t>
  </si>
  <si>
    <t xml:space="preserve">Houston realtor blogs (HAR) and Harbert Group 2026 checklist</t>
  </si>
  <si>
    <t xml:space="preserve">Local list of routine findings (loose handrails, leaks, GFCI, caulking, weather stripping) and local cost figures. Agent blog marketing; no frequencies.</t>
  </si>
  <si>
    <t xml:space="preserve">ActiveRain NJ inspector post and Waypoint Inspection blog</t>
  </si>
  <si>
    <t xml:space="preserve">Single-author inspector opinion. Only the first two items (grading, downspouts) of the 15-item list were visible.</t>
  </si>
  <si>
    <t xml:space="preserve">OnePoll surveys (American Standard DIY poll; deferred-repairs poll)</t>
  </si>
  <si>
    <t xml:space="preserve">Sponsored polls, about 2,000 respondents, several years old. Percentages came via search summaries and secondary pages, one a video page.</t>
  </si>
  <si>
    <t xml:space="preserve">HouseMaster Denver North, HomeTeam, Van Metre Homes, Bermont Realty</t>
  </si>
  <si>
    <t xml:space="preserve">https://housemaster.com/denvernorth/blog/10-most-common-problems-found</t>
  </si>
  <si>
    <t xml:space="preserve">Mostly marketing pages; no ranked frequencies. Used only for out-of-scope items and the builder-warranty drywall point.</t>
  </si>
  <si>
    <t xml:space="preserve">Porch, Thumbtack, Angi/HomeAdvisor inspection-driven demand</t>
  </si>
  <si>
    <t xml:space="preserve">Searched for Porch inspection-report project data; nothing returned. Marketplaces are other lenses.</t>
  </si>
  <si>
    <t xml:space="preserve">Today's Homeowner: DIY Home Improvement Projects by State (Google Trends, 10 search terms)</t>
  </si>
  <si>
    <t xml:space="preserve">Best data-backed signal found, but page would not open. Only the search summary was seen: install flooring won 11 states, tile 10, 'fix toilet' and 'caulk' tied 3rd, fence top in 4 Southern states, 'fix toilet' top about 107 weeks 2018-2023. Only 10 terms studied.</t>
  </si>
  <si>
    <t xml:space="preserve">Search Engine Journal / Google News Lab: most popular 'how to' searches (2017)</t>
  </si>
  <si>
    <t xml:space="preserve">Snippet only. US top 'how to fix' items: doors, windows, toilets, washing machines, refrigerators. About 9 years old. Same data on blog.google.</t>
  </si>
  <si>
    <t xml:space="preserve">Snippet only; ordering not verified as a data ranking. Page metadata suggests it is several years old. Editorial listicle.</t>
  </si>
  <si>
    <t xml:space="preserve">Snippet only. Editorial listicle (2021); includes car and lawn items I ignored.</t>
  </si>
  <si>
    <t xml:space="preserve">Snippet only. Editorial; numbering is list position, not demand.</t>
  </si>
  <si>
    <t xml:space="preserve">Snippet showed only a few entries of the list.</t>
  </si>
  <si>
    <t xml:space="preserve">Snippet showed only some of the 10 entries.</t>
  </si>
  <si>
    <t xml:space="preserve">Snippet showed only first few entries; published 2023, modified 2025. Editorial.</t>
  </si>
  <si>
    <t xml:space="preserve">Bob Vila: 15 Quick Home Repairs / Quick Fix Survival Guide / 50 Things Every Homeowner Should Know</t>
  </si>
  <si>
    <t xml:space="preserve">Snippet only. Items from several Bob Vila pages were merged in one search summary, so item-to-page mapping is approximate.</t>
  </si>
  <si>
    <t xml:space="preserve">This Old House: quick-fix, drywall, plumbing, squeaky floor and drawer guides</t>
  </si>
  <si>
    <t xml:space="preserve">Snippet only. Items drawn from one summary across about 10 TOH pages; page attribution approximate.</t>
  </si>
  <si>
    <t xml:space="preserve">Home Depot: DIY plumbing guides, Homeowner 101, Home Improvement Ideas, repair services</t>
  </si>
  <si>
    <t xml:space="preserve">https://www.homedepot.com/c/alp/home-improvement-ideas-diy-plumbing/dqe7-7lff</t>
  </si>
  <si>
    <t xml:space="preserve">Confirms topics exist in guide hubs only. No popularity ranking visible. Used as topic presence, not demand.</t>
  </si>
  <si>
    <t xml:space="preserve">Lowe's how-to guides and Home Repair Workshops press release (Nov 2023)</t>
  </si>
  <si>
    <t xml:space="preserve">Snippet only. Useful because a retailer chose four workshop topics (outlets and switches, drywall, faucet and drainage, toilet). That is a business choice, not a user count.</t>
  </si>
  <si>
    <t xml:space="preserve">Roto-Rooter: The State of Home Repair in 2024</t>
  </si>
  <si>
    <t xml:space="preserve">One search summary claimed Google Trends 2004-2024 over 20 terms (faucet repair top in 11 states, running toilet 8, broken window 6). A second search showed only a 1,000-homeowner cost survey and could not confirm it. Treat as unverified.</t>
  </si>
  <si>
    <t xml:space="preserve">Hook Agency: Most Searched Home Services on Google</t>
  </si>
  <si>
    <t xml:space="preserve">Page would not open and no usable content appeared in search summaries.</t>
  </si>
  <si>
    <t xml:space="preserve">kwrds.ai Home Improvement keywords</t>
  </si>
  <si>
    <t xml:space="preserve">https://www.kwrds.ai/top-keywords/Home-Improvement</t>
  </si>
  <si>
    <t xml:space="preserve">Shows volumes but only store, TV-show and generic terms (for example 'diy home improvement' 74,000). No how-to-fix jobs.</t>
  </si>
  <si>
    <t xml:space="preserve">ASINSIGHT Amazon US keyword report (wall tv mount)</t>
  </si>
  <si>
    <t xml:space="preserve">Weak. Weekly Amazon shopping searches from a third-party tool, not Google how-to volume. Rank-change figures sat next to volumes in the snippet.</t>
  </si>
  <si>
    <t xml:space="preserve">UK sources: Coventry Telegraph and DIY Week (Safestyle Google analysis)</t>
  </si>
  <si>
    <t xml:space="preserve">UK only. Used just to support leaky tap, hang a picture and change a lightbulb, flagged as UK data.</t>
  </si>
  <si>
    <t xml:space="preserve">Cinch Home Services, Sawinery and Good Men Project state studies</t>
  </si>
  <si>
    <t xml:space="preserve">https://goodmenproject.com/featured-content/states-looking-into-home-improvements-in-2025/</t>
  </si>
  <si>
    <t xml:space="preserve">Seen only in search summaries; state-level or category-level (plumbing, HVAC, roofing), not job-level. Colorado had the highest per-capita category searches in the Cinch study.</t>
  </si>
  <si>
    <t xml:space="preserve">Garage Cabinets: 20 DIY Home Repairs Everyone Should Know / Bob Vila Most Popular Home Improvement Projects 2023</t>
  </si>
  <si>
    <t xml:space="preserve">https://www.garagecabinets.com/diy-home-repairs</t>
  </si>
  <si>
    <t xml:space="preserve">Titles only appeared in results; no content seen.</t>
  </si>
  <si>
    <t xml:space="preserve">Hemlane: 193,000+ tenant requests report</t>
  </si>
  <si>
    <t xml:space="preserve">Best category ranking found (snippet only): plumbing 25.4%, Other 21.5%, HVAC 12.3%, appliance 12.2%, electrical 8.4%, handywork 5.8%, pest 4.9%, rekey/locks 2.5%. One vendor's own platform data; page never opened.</t>
  </si>
  <si>
    <t xml:space="preserve">Hemlane: maintenance by the numbers and resolution benchmarks</t>
  </si>
  <si>
    <t xml:space="preserve">https://www.hemlane.com/resources/rental-repair-resolution-time-benchmarks/</t>
  </si>
  <si>
    <t xml:space="preserve">Median days to close by category (snippet). Measures wait time, not job length. Same vendor as above.</t>
  </si>
  <si>
    <t xml:space="preserve">Hemlane support: coordinated maintenance and Rent Ready+</t>
  </si>
  <si>
    <t xml:space="preserve">Useful scope definition: handyperson jobs under 4 hours labor and $150 materials; detectors, paint touch-ups, fixtures (snippet).</t>
  </si>
  <si>
    <t xml:space="preserve">Bay Property Management Group: 22,354 requests across 8,148 units</t>
  </si>
  <si>
    <t xml:space="preserve">Real counts for 7 high-frequency categories and quarterly top-5 (snippet). One manager's own portfolio; the post is inconsistent on '20,000+' vs 22,354.</t>
  </si>
  <si>
    <t xml:space="preserve">Avail: 15 most reported tenant maintenance issues</t>
  </si>
  <si>
    <t xml:space="preserve">Specific small jobs named, but unranked and not backed by survey data (snippet).</t>
  </si>
  <si>
    <t xml:space="preserve">Avail: wear and tear vs property damage</t>
  </si>
  <si>
    <t xml:space="preserve">Indirect evidence for blinds, screens and wall holes (snippet).</t>
  </si>
  <si>
    <t xml:space="preserve">iPropertyManagement: 11 most requested rental repair items</t>
  </si>
  <si>
    <t xml:space="preserve">Named list with smoke detectors first; no counts; page about 965 days old per search tool (snippet).</t>
  </si>
  <si>
    <t xml:space="preserve">NAA: 10 things about common maintenance work orders</t>
  </si>
  <si>
    <t xml:space="preserve">Industry body, but only qualitative ranking (AC and plumbing lead; emergency orders 6.67%; lockouts fastest). About 2 years old (snippet).</t>
  </si>
  <si>
    <t xml:space="preserve">Multifamily Insiders forum: most common service requests</t>
  </si>
  <si>
    <t xml:space="preserve">Task-level lists (bulbs, slow drains, disposals, toilets, bi-fold doors) but anecdotal, a few posters, about 900 days old (snippet).</t>
  </si>
  <si>
    <t xml:space="preserve">Oxmaint: 15 most common property maintenance issues</t>
  </si>
  <si>
    <t xml:space="preserve">CMMS vendor blog; percentages unsourced and not used as evidence (snippet).</t>
  </si>
  <si>
    <t xml:space="preserve">MAPCON: top maintenance requests</t>
  </si>
  <si>
    <t xml:space="preserve">Category list from CMMS vendor; no counts (snippet).</t>
  </si>
  <si>
    <t xml:space="preserve">TenantCloud: common maintenance requests guide and stats pages</t>
  </si>
  <si>
    <t xml:space="preserve">Names HVAC, plumbing, electrical, appliances; no percentages (snippet).</t>
  </si>
  <si>
    <t xml:space="preserve">Lists toilet seats, bulbs, filters, windows. Several RentRedi pages came back together, so the exact page may differ. Vendor blog (snippet).</t>
  </si>
  <si>
    <t xml:space="preserve">Belong: 7 common rental repairs</t>
  </si>
  <si>
    <t xml:space="preserve">Category list; its share figures (HVAC about a third, plumbing about a quarter) add up to more than 100% with electrical, so not used (snippet).</t>
  </si>
  <si>
    <t xml:space="preserve">Routine request types incl. bulbs and filters; Texas operator marketing (snippet).</t>
  </si>
  <si>
    <t xml:space="preserve">UpKeep: common property management requests</t>
  </si>
  <si>
    <t xml:space="preserve">https://upkeep.com/learning/common-property-management-requests/</t>
  </si>
  <si>
    <t xml:space="preserve">Qualitative only: plumbing and HVAC on top, faucet leaks and flickering bulbs as quick fixes (snippet).</t>
  </si>
  <si>
    <t xml:space="preserve">MassLandlords handyperson proposal</t>
  </si>
  <si>
    <t xml:space="preserve">Landlord-association list of handyperson jobs (doors, windows, caulking, screen door); a proposal, not request data (snippet).</t>
  </si>
  <si>
    <t xml:space="preserve">Make-ready and turnover checklists (Happy Co, HAR, Lula, Property Task Masters, Rental Real Estate)</t>
  </si>
  <si>
    <t xml:space="preserve">https://happy.co/resources/apartment-make-ready</t>
  </si>
  <si>
    <t xml:space="preserve">Show what small jobs get done between tenants, not what tenants request. The search summary did not tie each claim to one page, so URLs are best-match (snippet).</t>
  </si>
  <si>
    <t xml:space="preserve">Latchel analytics property insights docs</t>
  </si>
  <si>
    <t xml:space="preserve">https://help.latchel.com/s/topic/0TO5e000000h9wqGAA/latchel-analytics-property-insights-section</t>
  </si>
  <si>
    <t xml:space="preserve">Only names emergency categories; no volumes (snippet).</t>
  </si>
  <si>
    <t xml:space="preserve">Lula blog</t>
  </si>
  <si>
    <t xml:space="preserve">Anecdotal PM observations (disposals, GFCI trips, bees). Exact page uncertain; used for one weak item only (snippet).</t>
  </si>
  <si>
    <t xml:space="preserve">Property Meld help and resources</t>
  </si>
  <si>
    <t xml:space="preserve">https://help.propertymeld.com/hc/en-us/articles/45827358359187-Meld-Work-Types</t>
  </si>
  <si>
    <t xml:space="preserve">No category volume ranking published; only work types and a seasonal dip (snippet).</t>
  </si>
  <si>
    <t xml:space="preserve">Buildium blog</t>
  </si>
  <si>
    <t xml:space="preserve">https://www.buildium.com/blog/property-maintenance-management-workflows-101/</t>
  </si>
  <si>
    <t xml:space="preserve">Triage and workflow advice only; no request-type data (snippet).</t>
  </si>
  <si>
    <t xml:space="preserve">TurboTenant maintenance pages</t>
  </si>
  <si>
    <t xml:space="preserve">https://www.turbotenant.com/property-management/rental-property-maintenance-requests/</t>
  </si>
  <si>
    <t xml:space="preserve">Workflow and urgency tiers only; no ranking (snippet).</t>
  </si>
  <si>
    <t xml:space="preserve">Landlord Studio blog</t>
  </si>
  <si>
    <t xml:space="preserve">https://www.landlordstudio.com/blog/rental-property-maintenance-expenses</t>
  </si>
  <si>
    <t xml:space="preserve">Survey says maintenance is the biggest landlord challenge (about 40%); no request types (snippet).</t>
  </si>
  <si>
    <t xml:space="preserve">AppFolio, Yardi, RealPage, Zillow Rental Manager, Avail platform data, DoorLoop</t>
  </si>
  <si>
    <t xml:space="preserve">https://www.tenantcloud.com/maintenance/stats-on-common-maintenance-requests</t>
  </si>
  <si>
    <t xml:space="preserve">Searched by name; nothing published on request-type volumes. Results returned TenantCloud or Hemlane instead (snippet).</t>
  </si>
  <si>
    <t xml:space="preserve">J Turner Research multifamily complaints</t>
  </si>
  <si>
    <t xml:space="preserve">https://www.jturnerresearch.com/blog/brewing-data-haunted-by-negative-ratings-and-reviews</t>
  </si>
  <si>
    <t xml:space="preserve">Maintenance ranks high among complaints (1.5M reviews), but not by job type (snippet).</t>
  </si>
  <si>
    <t xml:space="preserve">WebFetch of any page (Thimble, Washington Times, Community Impact, Lowe's, Home Depot, Bob Vila, Wikipedia)</t>
  </si>
  <si>
    <t xml:space="preserve">Every fetch failed with DNS error ENOTFOUND. No page was opened; all evidence comes from WebSearch result summaries.</t>
  </si>
  <si>
    <t xml:space="preserve">Best Buy / Geek Squad service pages (TV mounting, doorbell, thermostat, lock, dishwasher, appliances)</t>
  </si>
  <si>
    <t xml:space="preserve">Snippet only. Gives prices and est. times (doorbell 60, thermostat 55, lock 90, basic TV mount 35). Supply-side, not demand.</t>
  </si>
  <si>
    <t xml:space="preserve">Lowe's installation pages (install, sink-faucet, lighting-and-ceiling-fans, appliances, bathroom, smart home)</t>
  </si>
  <si>
    <t xml:space="preserve">https://www.lowes.com/l/install</t>
  </si>
  <si>
    <t xml:space="preserve">Snippet only. Shows what is sold as installable. Independent installers, 1-year labor warranty.</t>
  </si>
  <si>
    <t xml:space="preserve">Home Depot services and Pro Referral pages</t>
  </si>
  <si>
    <t xml:space="preserve">Snippet only. Dedicated pages: TV mounting, ceiling fan, light fixture, outlet, door hardware, cabinet hardware, faucet, toilet repair, smart home. Referral marketplace, supply-side.</t>
  </si>
  <si>
    <t xml:space="preserve">Handy (app listing, service pages, Washington Times 2016)</t>
  </si>
  <si>
    <t xml:space="preserve">Only demand statement is a 2016 holiday-weekend comment. App listing used for service names.</t>
  </si>
  <si>
    <t xml:space="preserve">Amazon Home Services (2016 news coverage, Retail Dive, 2022 archived services page)</t>
  </si>
  <si>
    <t xml:space="preserve">Dated. Names TV mounting, furniture assembly, treadmill assembly as most popular; source article for treadmill uncertain.</t>
  </si>
  <si>
    <t xml:space="preserve">TaskRabbit help center and Parse third-party stats</t>
  </si>
  <si>
    <t xml:space="preserve">Category list only, undated. The 3.4M furniture-assembly figure is from a third-party site and unverified.</t>
  </si>
  <si>
    <t xml:space="preserve">Mr. Handyman (Neighborly) franchise pages and Community Impact article</t>
  </si>
  <si>
    <t xml:space="preserve">One franchise's top 3 (doors, drywall, honey-do). Local pages list door, caulking, drywall, fixture and furniture-assembly tasks. Not national.</t>
  </si>
  <si>
    <t xml:space="preserve">Handyman Connection franchise pages</t>
  </si>
  <si>
    <t xml:space="preserve">Local pages, partial. Door and window repair, shelf hanging, caulking, gate latch, baseboard trim. No national ranking.</t>
  </si>
  <si>
    <t xml:space="preserve">Ace Handyman Services Indianapolis via HelloNation PR (May 2026)</t>
  </si>
  <si>
    <t xml:space="preserve">One owner's opinion in a PR article. Deck, bathroom caulking, stair, fence repair.</t>
  </si>
  <si>
    <t xml:space="preserve">Honey Homes membership listing (Berkeley Parents Network)</t>
  </si>
  <si>
    <t xml:space="preserve">Closest to a named-task membership list. Bay Area only; sample jobs, not counts.</t>
  </si>
  <si>
    <t xml:space="preserve">Bob Vila handyman services list</t>
  </si>
  <si>
    <t xml:space="preserve">Ranks drywall, light electrical, light plumbing, quoting one handyman. Two Bob Vila URLs came back; page attribution uncertain.</t>
  </si>
  <si>
    <t xml:space="preserve">Thimble blog, most requested handyman services</t>
  </si>
  <si>
    <t xml:space="preserve">Only seen via search summary. Insurer or contractor-marketing content. Treat as one author's list.</t>
  </si>
  <si>
    <t xml:space="preserve">Jobber handyman services list</t>
  </si>
  <si>
    <t xml:space="preserve">Contractor-marketing listicle. Used only as corroboration.</t>
  </si>
  <si>
    <t xml:space="preserve">NAHB Eye on Housing aging-in-place analysis</t>
  </si>
  <si>
    <t xml:space="preserve">Data-backed (remodeler survey percentages), but covers remodelers, not handyman bookings. Year of the 87% figure uncertain.</t>
  </si>
  <si>
    <t xml:space="preserve">Rebuilding Together (Fairfax, Hudson Valley, North Jersey) and AARP HomeFit</t>
  </si>
  <si>
    <t xml:space="preserve">Nonprofit senior-repair programs. Grab bars, stair rails, lighting, smoke detectors. Program-level, no counts.</t>
  </si>
  <si>
    <t xml:space="preserve">HomeServe US plans</t>
  </si>
  <si>
    <t xml:space="preserve">https://homeserve.com/sc/plans</t>
  </si>
  <si>
    <t xml:space="preserve">Repair plans for plumbing, HVAC, electrical systems. No small-job task list found.</t>
  </si>
  <si>
    <t xml:space="preserve">Frontdoor</t>
  </si>
  <si>
    <t xml:space="preserve">https://www.builtincolorado.com/company/frontdoor</t>
  </si>
  <si>
    <t xml:space="preserve">Home warranty plans for systems and appliances. No handyman task breakdown found; 4M+ requests reported with no split.</t>
  </si>
  <si>
    <t xml:space="preserve">Hello Alfred</t>
  </si>
  <si>
    <t xml:space="preserve">https://techcrunch.com/2015/04/14/alfred-series-a/</t>
  </si>
  <si>
    <t xml:space="preserve">Concierge product that routes handyman work to outside apps. No task list found.</t>
  </si>
  <si>
    <t xml:space="preserve">Unlimited-handyman membership providers (WeFix, SAM by Mosby, BirdSong, Maison Plan)</t>
  </si>
  <si>
    <t xml:space="preserve">WeFix named outlets, bulbs, shelving, cabinets, sinks but no URL surfaced. Others list hours or visits, not tasks.</t>
  </si>
  <si>
    <t xml:space="preserve">TaskRabbit cost guides and city pages</t>
  </si>
  <si>
    <t xml:space="preserve">Good for hourly rates and 1-4 hr ranges; Dallas and Fort Worth pages are in-market.</t>
  </si>
  <si>
    <t xml:space="preserve">HomeAdvisor cost pages</t>
  </si>
  <si>
    <t xml:space="preserve">Dedicated guides for fans, GFCI, disposals, weatherstripping, bath fans; some time statements.</t>
  </si>
  <si>
    <t xml:space="preserve">HomeGuide cost guides</t>
  </si>
  <si>
    <t xml:space="preserve">Many dedicated guides; mostly titles plus a few time/labor figures.</t>
  </si>
  <si>
    <t xml:space="preserve">Dedicated pages for drywall, disposal, garage door, grab bars.</t>
  </si>
  <si>
    <t xml:space="preserve">Only the grab bar calculator surfaced.</t>
  </si>
  <si>
    <t xml:space="preserve">Thumbtack category and city pages</t>
  </si>
  <si>
    <t xml:space="preserve">Wall-hanging pages give TV mount price and 1-2 hr time; Frisco TX page in-market.</t>
  </si>
  <si>
    <t xml:space="preserve">Angi articles</t>
  </si>
  <si>
    <t xml:space="preserve">Dedicated guides for outlets, outlet repair, garage door, locksmith; mostly titles only.</t>
  </si>
  <si>
    <t xml:space="preserve">HomeServe deadbolt cost guide</t>
  </si>
  <si>
    <t xml:space="preserve">Deadbolt and rekey price and time hints.</t>
  </si>
  <si>
    <t xml:space="preserve">HomeTips toilet repair costs</t>
  </si>
  <si>
    <t xml:space="preserve">Running toilet and clog price ranges.</t>
  </si>
  <si>
    <t xml:space="preserve">Bob Vila doorbell installation cost</t>
  </si>
  <si>
    <t xml:space="preserve">Cites Angi doorbell average $300.</t>
  </si>
  <si>
    <t xml:space="preserve">Pocketsuite and Canadian Tire smart home listings</t>
  </si>
  <si>
    <t xml:space="preserve">Weak evidence: single vendors, Canadian Tire is CAD.</t>
  </si>
  <si>
    <t xml:space="preserve">Airtasker, MyBuilder, Reddit mirror</t>
  </si>
  <si>
    <t xml:space="preserve">Weak: Airtasker/MyBuilder are not US; Reddit is anecdotal.</t>
  </si>
  <si>
    <t xml:space="preserve">risingsunartscentre.org, kurlon.com auto-generated 'cost guide 2026' pages</t>
  </si>
  <si>
    <t xml:space="preserve">https://new.risingsunartscentre.org/news/handyman-ceiling-fan-install-cost-guide-2026.html</t>
  </si>
  <si>
    <t xml:space="preserve">Obvious SEO spam; conflicting numbers. Not cited.</t>
  </si>
  <si>
    <t xml:space="preserve">contractorplus.app and steelcase educationsurvey pages</t>
  </si>
  <si>
    <t xml:space="preserve">https://contractorplus.app/resources/construction-costs/install-microwave/mesa-az</t>
  </si>
  <si>
    <t xml:space="preserve">Placeholder $0.00 totals or unrelated host. Not cited.</t>
  </si>
  <si>
    <t xml:space="preserve">Thimble: most requested handyman services</t>
  </si>
  <si>
    <t xml:space="preserve">Named top-request list; dated 2026.</t>
  </si>
  <si>
    <t xml:space="preserve">Enrich Labs handyman guide 2026</t>
  </si>
  <si>
    <t xml:space="preserve">Lists bundled small jobs; no ranking.</t>
  </si>
  <si>
    <t xml:space="preserve">TaskRabbit San Antonio home improvement</t>
  </si>
  <si>
    <t xml:space="preserve">Task list for San Antonio; exact page (vs commercial-handyman page) is a best match.</t>
  </si>
  <si>
    <t xml:space="preserve">TaskRabbit Denver home improvement</t>
  </si>
  <si>
    <t xml:space="preserve">Denver tasker offers door adjustment and knob/lock replacement; no CO handyman license.</t>
  </si>
  <si>
    <t xml:space="preserve">House Doctors Austin summer prep</t>
  </si>
  <si>
    <t xml:space="preserve">Filters, weatherstripping, caulking, gutters.</t>
  </si>
  <si>
    <t xml:space="preserve">Mr. Handyman Plano summer prep</t>
  </si>
  <si>
    <t xml:space="preserve">Fence, weatherstripping, caulking; says HVAC and electrical need licensed specialists.</t>
  </si>
  <si>
    <t xml:space="preserve">HD Foundation Repair DFW doors and windows</t>
  </si>
  <si>
    <t xml:space="preserve">Used on title and summary only.</t>
  </si>
  <si>
    <t xml:space="preserve">Mr. Handyman Katy/Houston fence repair</t>
  </si>
  <si>
    <t xml:space="preserve">Gate latch, dragging gate, pickets.</t>
  </si>
  <si>
    <t xml:space="preserve">Thumbtack Houston and Dallas category pages</t>
  </si>
  <si>
    <t xml:space="preserve">TV mount and furniture assembly prices; Houston gate repair category. No hours.</t>
  </si>
  <si>
    <t xml:space="preserve">Typical unlicensed jobs; city rules for Dallas fencing and Houston permits. Which licensing page said what is approximate.</t>
  </si>
  <si>
    <t xml:space="preserve">Texas Disposal freeze blog and CBS Texas</t>
  </si>
  <si>
    <t xml:space="preserve">Freeze prep; many near-identical syndicated Jan 2025 news copies were not independent.</t>
  </si>
  <si>
    <t xml:space="preserve">CBS Colorado and Roto-Rooter Denver</t>
  </si>
  <si>
    <t xml:space="preserve">Freeze and spigot prep; hail not covered.</t>
  </si>
  <si>
    <t xml:space="preserve">Consumer Reports smart home</t>
  </si>
  <si>
    <t xml:space="preserve">Doorbell and smart lock install notes; paywalled.</t>
  </si>
  <si>
    <t xml:space="preserve">Freedonia smart home security</t>
  </si>
  <si>
    <t xml:space="preserve">Smart lock growth forecast.</t>
  </si>
  <si>
    <t xml:space="preserve">Parks Associates video doorbell adoption</t>
  </si>
  <si>
    <t xml:space="preserve">22% household figure projected for end 2023, so older than 2024.</t>
  </si>
  <si>
    <t xml:space="preserve">Jiffy smart home install</t>
  </si>
  <si>
    <t xml:space="preserve">Pro install service; no per-device times.</t>
  </si>
  <si>
    <t xml:space="preserve">ConsumerAffairs, Detroit checklist, AARP, Lifeline, grabbars.com</t>
  </si>
  <si>
    <t xml:space="preserve">Aging-in-place and grab bar guidance with time ranges.</t>
  </si>
  <si>
    <t xml:space="preserve">Fixr, HomeAdvisor (Wayback), MoneyGeek childproofing</t>
  </si>
  <si>
    <t xml:space="preserve">Cost data; time data came only from low-quality mirror pages.</t>
  </si>
  <si>
    <t xml:space="preserve">Handyman Connection Ottawa, Victoria, McKinney/Frisco</t>
  </si>
  <si>
    <t xml:space="preserve">Home-office jobs; first two are Canadian, McKinney is title-only.</t>
  </si>
  <si>
    <t xml:space="preserve">Angi 2024 State of Home Spending (GlobeNewswire)</t>
  </si>
  <si>
    <t xml:space="preserve">Category-level only: maintenance and interior painting.</t>
  </si>
  <si>
    <t xml:space="preserve">Garage door pages (AHS, A1 Garage, Resident.com)</t>
  </si>
  <si>
    <t xml:space="preserve">Title-level support; no Texas-specific data.</t>
  </si>
  <si>
    <t xml:space="preserve">Leak sensor insurance pages (Coverager, Latent Insure, Grus)</t>
  </si>
  <si>
    <t xml:space="preserve">https://coverager.com/stand-and-moen-launch-smart-water-leak-program-with-insurance-discounts/</t>
  </si>
  <si>
    <t xml:space="preserve">Vendor and broker blogs; discounts favor auto shutoff valves.</t>
  </si>
  <si>
    <t xml:space="preserve">Thumbtack community forum, invoicefly, IBISWorld, nimbleappgenie</t>
  </si>
  <si>
    <t xml:space="preserve">https://community.thumbtack.com/discussion/comment/6719/</t>
  </si>
  <si>
    <t xml:space="preserve">Pro-side chatter or generic industry content; no job-level demand data.</t>
  </si>
  <si>
    <t xml:space="preserve">Smart home market reports (synced.sg, 360researchreports, MarketsandMarkets)</t>
  </si>
  <si>
    <t xml:space="preserve">https://synced.sg/pages/smart-home-statistics</t>
  </si>
  <si>
    <t xml:space="preserve">Market-level figures only; some values looked implausible, so not cited.</t>
  </si>
  <si>
    <t xml:space="preserve">Mirror cost pages (kurlon, risingsunartscentre)</t>
  </si>
  <si>
    <t xml:space="preserve">https://selector.kurlon.com/live/baby-proofing-service-cost-2026-15984.html</t>
  </si>
  <si>
    <t xml:space="preserve">Scraped or mirrored content; not cited.</t>
  </si>
  <si>
    <t xml:space="preserve">MarketKeep: 50 Best SEO Keywords for Handyman Services (2024)</t>
  </si>
  <si>
    <t xml:space="preserve">Keyword Planner table. Only broad terms and 'furniture assembly services' (3,600) and 'handyman garage door repair' (1,000) surfaced; rows for tv mounting, ceiling fan, drywall were cut off. 'handyman near me' 201,000, 'handyman services' 40,500. A separate MarketKeep article claims 1.2M for 'handyman near me', so figures conflict.</t>
  </si>
  <si>
    <t xml:space="preserve">The Mortgage Reports summary of BigRentz study</t>
  </si>
  <si>
    <t xml:space="preserve">US how-to query volumes (Ahrefs): leaky faucet ~11,000, unclog drain 7,200, find a stud 4,100, drywall anchor ~150. Undated.</t>
  </si>
  <si>
    <t xml:space="preserve">BigRentz home maintenance survey</t>
  </si>
  <si>
    <t xml:space="preserve">Original study not directly visible; figures came through secondary summaries.</t>
  </si>
  <si>
    <t xml:space="preserve">Loopex Digital: 100 plumbing keywords (updated May 2026)</t>
  </si>
  <si>
    <t xml:space="preserve">Running toilet 9,900 and garbage disposal 3,300 how-to volumes. A follow-up search to see more rows failed.</t>
  </si>
  <si>
    <t xml:space="preserve">'clogged drain' 6,600; also emergency plumber 27,100 and water heater repair 18,100 (not Fast Fix jobs).</t>
  </si>
  <si>
    <t xml:space="preserve">seodata.dev: install nest smart thermostat</t>
  </si>
  <si>
    <t xml:space="preserve">Google Ads API data, June 2026: 9,900 and 4,400 for thermostat install variants.</t>
  </si>
  <si>
    <t xml:space="preserve">IFA Magazine: DIY Britain 10 home repairs (Confused.com Energy)</t>
  </si>
  <si>
    <t xml:space="preserve">UK search data only: unblock toilet 33,950, changing light bulbs ~3,500. Not US.</t>
  </si>
  <si>
    <t xml:space="preserve">Hook Agency: most searched home services</t>
  </si>
  <si>
    <t xml:space="preserve">Category ranking only (plumbing, electrical, HVAC, cleaning, landscaping, handyman, pest control, roofing; smart home installation 9th). Its volume figures are ambiguous and its YoY percentages are unsourced; not used.</t>
  </si>
  <si>
    <t xml:space="preserve">RankHero: handyman services keyword</t>
  </si>
  <si>
    <t xml:space="preserve">https://www.rankhero.com/keywords/handyman-services</t>
  </si>
  <si>
    <t xml:space="preserve">Only the generic term (about 74,000 monthly, peak 90,500 Oct 2025, low 60,500 Feb 2026). Not job-specific.</t>
  </si>
  <si>
    <t xml:space="preserve">ASINSIGHT Amazon keyword reports (tv wall mount, tv mount)</t>
  </si>
  <si>
    <t xml:space="preserve">Amazon weekly product-search volumes. Proxy for product demand, not service demand.</t>
  </si>
  <si>
    <t xml:space="preserve">EcomCrew Amazon search-term data (ceiling fans)</t>
  </si>
  <si>
    <t xml:space="preserve">Amazon product-search volumes. Weak proxy.</t>
  </si>
  <si>
    <t xml:space="preserve">SEOJuice home services keyword pages</t>
  </si>
  <si>
    <t xml:space="preserve">https://seojuice.io/keyword-research/real-estate/home-services/US</t>
  </si>
  <si>
    <t xml:space="preserve">Only broad terms surfaced (tankless water heater, home security system, water damage restoration); no Fast Fix jobs.</t>
  </si>
  <si>
    <t xml:space="preserve">Thumbtack, HomeAdvisor, TaskRabbit, Google Business pro profiles</t>
  </si>
  <si>
    <t xml:space="preserve">https://www.taskrabbit.com/m/handyman</t>
  </si>
  <si>
    <t xml:space="preserve">Supply-side service menus and prices. No search volumes or rankings.</t>
  </si>
  <si>
    <t xml:space="preserve">Airtasker AU furniture assembly trends</t>
  </si>
  <si>
    <t xml:space="preserve">https://www.airtasker.com/au/trends/popular/furniture-assembly/</t>
  </si>
  <si>
    <t xml:space="preserve">Australian task volumes, not US search demand.</t>
  </si>
  <si>
    <t xml:space="preserve">Hook Agency usage stats, DBA Platform, SureFire Local, Enrich Labs, Camp Digital, Plastic Sheets Shop (UK)</t>
  </si>
  <si>
    <t xml:space="preserve">https://hookagency.com/blog/home-services-google-usage-statistics</t>
  </si>
  <si>
    <t xml:space="preserve">Marketing blogs with unsourced percentages or UK/general trade data; no job-level volumes.</t>
  </si>
  <si>
    <t xml:space="preserve">Prototype job today (catalog.js)</t>
  </si>
  <si>
    <t xml:space="preserve">Prototype id</t>
  </si>
  <si>
    <t xml:space="preserve">In the new top 100?</t>
  </si>
  <si>
    <t xml:space="preserve">Closest new job</t>
  </si>
  <si>
    <t xml:space="preserve">toilet-run</t>
  </si>
  <si>
    <t xml:space="preserve">Clogged toilet</t>
  </si>
  <si>
    <t xml:space="preserve">toilet-clog</t>
  </si>
  <si>
    <t xml:space="preserve">Replaced</t>
  </si>
  <si>
    <t xml:space="preserve">toilet-seat</t>
  </si>
  <si>
    <t xml:space="preserve">Leaky faucet</t>
  </si>
  <si>
    <t xml:space="preserve">faucet-leak</t>
  </si>
  <si>
    <t xml:space="preserve">faucet-swap</t>
  </si>
  <si>
    <t xml:space="preserve">showerhead</t>
  </si>
  <si>
    <t xml:space="preserve">Clogged sink or drain</t>
  </si>
  <si>
    <t xml:space="preserve">drain-clog</t>
  </si>
  <si>
    <t xml:space="preserve">Garbage disposal issue</t>
  </si>
  <si>
    <t xml:space="preserve">disposal</t>
  </si>
  <si>
    <t xml:space="preserve">Replace a supply line or shutoff valve</t>
  </si>
  <si>
    <t xml:space="preserve">supply-line</t>
  </si>
  <si>
    <t xml:space="preserve">Replace a sink stopper or strainer</t>
  </si>
  <si>
    <t xml:space="preserve">sink-stopper</t>
  </si>
  <si>
    <t xml:space="preserve">Door lock issue</t>
  </si>
  <si>
    <t xml:space="preserve">lock</t>
  </si>
  <si>
    <t xml:space="preserve">Replace a door lock or deadbolt</t>
  </si>
  <si>
    <t xml:space="preserve">lock-swap</t>
  </si>
  <si>
    <t xml:space="preserve">Sticking or loose door</t>
  </si>
  <si>
    <t xml:space="preserve">door-stick</t>
  </si>
  <si>
    <t xml:space="preserve">knob</t>
  </si>
  <si>
    <t xml:space="preserve">Adjust or replace door hinges</t>
  </si>
  <si>
    <t xml:space="preserve">hinge</t>
  </si>
  <si>
    <t xml:space="preserve">Install a door stop or bumper</t>
  </si>
  <si>
    <t xml:space="preserve">door-stop</t>
  </si>
  <si>
    <t xml:space="preserve">weather</t>
  </si>
  <si>
    <t xml:space="preserve">Install a peephole or door chain</t>
  </si>
  <si>
    <t xml:space="preserve">peephole</t>
  </si>
  <si>
    <t xml:space="preserve">Fix a screen door</t>
  </si>
  <si>
    <t xml:space="preserve">screen-door</t>
  </si>
  <si>
    <t xml:space="preserve">Fix a sliding door or closet door</t>
  </si>
  <si>
    <t xml:space="preserve">sliding</t>
  </si>
  <si>
    <t xml:space="preserve">Patch a small drywall hole</t>
  </si>
  <si>
    <t xml:space="preserve">drywall</t>
  </si>
  <si>
    <t xml:space="preserve">Fill nail or screw holes</t>
  </si>
  <si>
    <t xml:space="preserve">nail-holes</t>
  </si>
  <si>
    <t xml:space="preserve">Caulk a tub, sink or shower</t>
  </si>
  <si>
    <t xml:space="preserve">caulk</t>
  </si>
  <si>
    <t xml:space="preserve">Re-grout a small tile area</t>
  </si>
  <si>
    <t xml:space="preserve">grout</t>
  </si>
  <si>
    <t xml:space="preserve">Replace a cracked tile</t>
  </si>
  <si>
    <t xml:space="preserve">tile</t>
  </si>
  <si>
    <t xml:space="preserve">Touch-up paint</t>
  </si>
  <si>
    <t xml:space="preserve">touch-up</t>
  </si>
  <si>
    <t xml:space="preserve">Paint an accent wall or small room</t>
  </si>
  <si>
    <t xml:space="preserve">paint-wall</t>
  </si>
  <si>
    <t xml:space="preserve">Fix loose baseboard or trim</t>
  </si>
  <si>
    <t xml:space="preserve">baseboard</t>
  </si>
  <si>
    <t xml:space="preserve">Install peel-and-stick tile or backsplash</t>
  </si>
  <si>
    <t xml:space="preserve">peel-tile</t>
  </si>
  <si>
    <t xml:space="preserve">Hang or repair wallpaper</t>
  </si>
  <si>
    <t xml:space="preserve">wallpaper</t>
  </si>
  <si>
    <t xml:space="preserve">Mount a TV</t>
  </si>
  <si>
    <t xml:space="preserve">tv</t>
  </si>
  <si>
    <t xml:space="preserve">Hang shelves</t>
  </si>
  <si>
    <t xml:space="preserve">shelves</t>
  </si>
  <si>
    <t xml:space="preserve">pictures</t>
  </si>
  <si>
    <t xml:space="preserve">Hang a mirror</t>
  </si>
  <si>
    <t xml:space="preserve">mirror</t>
  </si>
  <si>
    <t xml:space="preserve">Install wall hooks or a coat rack</t>
  </si>
  <si>
    <t xml:space="preserve">hooks</t>
  </si>
  <si>
    <t xml:space="preserve">Install a towel bar or bath accessory</t>
  </si>
  <si>
    <t xml:space="preserve">towel</t>
  </si>
  <si>
    <t xml:space="preserve">closet-rod</t>
  </si>
  <si>
    <t xml:space="preserve">Mount a bike rack, pegboard or wall storage</t>
  </si>
  <si>
    <t xml:space="preserve">wall-storage</t>
  </si>
  <si>
    <t xml:space="preserve">Install curtain rods</t>
  </si>
  <si>
    <t xml:space="preserve">curtain-rod</t>
  </si>
  <si>
    <t xml:space="preserve">Mount a floating desk or fold-down table</t>
  </si>
  <si>
    <t xml:space="preserve">floating-desk</t>
  </si>
  <si>
    <t xml:space="preserve">light-fixture</t>
  </si>
  <si>
    <t xml:space="preserve">Replace hard-to-reach light bulbs</t>
  </si>
  <si>
    <t xml:space="preserve">bulbs</t>
  </si>
  <si>
    <t xml:space="preserve">Replace an outlet or switch</t>
  </si>
  <si>
    <t xml:space="preserve">outlet</t>
  </si>
  <si>
    <t xml:space="preserve">Install a dimmer switch</t>
  </si>
  <si>
    <t xml:space="preserve">dimmer</t>
  </si>
  <si>
    <t xml:space="preserve">fan</t>
  </si>
  <si>
    <t xml:space="preserve">doorbell</t>
  </si>
  <si>
    <t xml:space="preserve">thermostat</t>
  </si>
  <si>
    <t xml:space="preserve">Replace smoke detector batteries</t>
  </si>
  <si>
    <t xml:space="preserve">smoke</t>
  </si>
  <si>
    <t xml:space="preserve">Set up smart plugs or smart bulbs</t>
  </si>
  <si>
    <t xml:space="preserve">smart-plug</t>
  </si>
  <si>
    <t xml:space="preserve">Install a plug-in security camera</t>
  </si>
  <si>
    <t xml:space="preserve">camera</t>
  </si>
  <si>
    <t xml:space="preserve">Appliance diagnostic</t>
  </si>
  <si>
    <t xml:space="preserve">appliance</t>
  </si>
  <si>
    <t xml:space="preserve">Dishwasher issue</t>
  </si>
  <si>
    <t xml:space="preserve">dishwasher</t>
  </si>
  <si>
    <t xml:space="preserve">Washer or dryer issue</t>
  </si>
  <si>
    <t xml:space="preserve">washer-dryer</t>
  </si>
  <si>
    <t xml:space="preserve">Refrigerator issue</t>
  </si>
  <si>
    <t xml:space="preserve">fridge</t>
  </si>
  <si>
    <t xml:space="preserve">Oven or stove issue</t>
  </si>
  <si>
    <t xml:space="preserve">oven</t>
  </si>
  <si>
    <t xml:space="preserve">Microwave or range hood issue</t>
  </si>
  <si>
    <t xml:space="preserve">microwave</t>
  </si>
  <si>
    <t xml:space="preserve">Replace a fridge or range hood filter</t>
  </si>
  <si>
    <t xml:space="preserve">filter-swap</t>
  </si>
  <si>
    <t xml:space="preserve">Fix a cabinet door or hinge</t>
  </si>
  <si>
    <t xml:space="preserve">cab-door</t>
  </si>
  <si>
    <t xml:space="preserve">Install cabinet handles or knobs</t>
  </si>
  <si>
    <t xml:space="preserve">cab-hw</t>
  </si>
  <si>
    <t xml:space="preserve">Fix a stuck or broken drawer</t>
  </si>
  <si>
    <t xml:space="preserve">drawer</t>
  </si>
  <si>
    <t xml:space="preserve">Assemble furniture</t>
  </si>
  <si>
    <t xml:space="preserve">assemble</t>
  </si>
  <si>
    <t xml:space="preserve">bed</t>
  </si>
  <si>
    <t xml:space="preserve">desk</t>
  </si>
  <si>
    <t xml:space="preserve">dresser</t>
  </si>
  <si>
    <t xml:space="preserve">Assemble a table or chairs</t>
  </si>
  <si>
    <t xml:space="preserve">table-chairs</t>
  </si>
  <si>
    <t xml:space="preserve">Assemble outdoor furniture</t>
  </si>
  <si>
    <t xml:space="preserve">patio-furniture</t>
  </si>
  <si>
    <t xml:space="preserve">Assemble a crib or child's furniture</t>
  </si>
  <si>
    <t xml:space="preserve">crib</t>
  </si>
  <si>
    <t xml:space="preserve">Assemble exercise equipment</t>
  </si>
  <si>
    <t xml:space="preserve">exercise</t>
  </si>
  <si>
    <t xml:space="preserve">anchor</t>
  </si>
  <si>
    <t xml:space="preserve">Fix a wobbly table or chair</t>
  </si>
  <si>
    <t xml:space="preserve">wobbly</t>
  </si>
  <si>
    <t xml:space="preserve">blinds</t>
  </si>
  <si>
    <t xml:space="preserve">blind-repair</t>
  </si>
  <si>
    <t xml:space="preserve">window-screen</t>
  </si>
  <si>
    <t xml:space="preserve">Fix a sticking window</t>
  </si>
  <si>
    <t xml:space="preserve">window-stick</t>
  </si>
  <si>
    <t xml:space="preserve">Fix a window latch or crank</t>
  </si>
  <si>
    <t xml:space="preserve">window-latch</t>
  </si>
  <si>
    <t xml:space="preserve">Install window or privacy film</t>
  </si>
  <si>
    <t xml:space="preserve">window-film</t>
  </si>
  <si>
    <t xml:space="preserve">Seal a drafty window</t>
  </si>
  <si>
    <t xml:space="preserve">window-seal</t>
  </si>
  <si>
    <t xml:space="preserve">Replace blind brackets or hardware</t>
  </si>
  <si>
    <t xml:space="preserve">blind-bracket</t>
  </si>
  <si>
    <t xml:space="preserve">Cut blinds to size</t>
  </si>
  <si>
    <t xml:space="preserve">blind-cut</t>
  </si>
  <si>
    <t xml:space="preserve">Install a window stop or lock</t>
  </si>
  <si>
    <t xml:space="preserve">window-stop</t>
  </si>
  <si>
    <t xml:space="preserve">Install safety latches or gates</t>
  </si>
  <si>
    <t xml:space="preserve">latches</t>
  </si>
  <si>
    <t xml:space="preserve">grab-bar</t>
  </si>
  <si>
    <t xml:space="preserve">Install a carbon monoxide detector</t>
  </si>
  <si>
    <t xml:space="preserve">co-detector</t>
  </si>
  <si>
    <t xml:space="preserve">Mount a fire extinguisher</t>
  </si>
  <si>
    <t xml:space="preserve">extinguisher</t>
  </si>
  <si>
    <t xml:space="preserve">Replace HVAC or furnace filters</t>
  </si>
  <si>
    <t xml:space="preserve">hvac-filter</t>
  </si>
  <si>
    <t xml:space="preserve">Tighten a loose handrail or railing</t>
  </si>
  <si>
    <t xml:space="preserve">handrail</t>
  </si>
  <si>
    <t xml:space="preserve">Fix a squeaky stair or floor</t>
  </si>
  <si>
    <t xml:space="preserve">stair-squeak</t>
  </si>
  <si>
    <t xml:space="preserve">Install night lights or motion lights</t>
  </si>
  <si>
    <t xml:space="preserve">night-lights</t>
  </si>
  <si>
    <t xml:space="preserve">Install or repair a mailbox</t>
  </si>
  <si>
    <t xml:space="preserve">mailbox</t>
  </si>
  <si>
    <t xml:space="preserve">Install a key lockbox</t>
  </si>
  <si>
    <t xml:space="preserve">lockbox</t>
  </si>
  <si>
    <t xml:space="preserve">Fix a gate latch or hinge</t>
  </si>
  <si>
    <t xml:space="preserve">gate</t>
  </si>
  <si>
    <t xml:space="preserve">Fix a loose fence panel</t>
  </si>
  <si>
    <t xml:space="preserve">fence</t>
  </si>
  <si>
    <t xml:space="preserve">Replace an outdoor light or sensor</t>
  </si>
  <si>
    <t xml:space="preserve">outdoor-light</t>
  </si>
  <si>
    <t xml:space="preserve">Replace a hose or outdoor spigot cover</t>
  </si>
  <si>
    <t xml:space="preserve">spigot</t>
  </si>
  <si>
    <t xml:space="preserve">Fix a garage door keypad or remote</t>
  </si>
  <si>
    <t xml:space="preserve">garage-door</t>
  </si>
  <si>
    <t xml:space="preserve">Assemble a grill</t>
  </si>
  <si>
    <t xml:space="preserve">grill</t>
  </si>
  <si>
    <t xml:space="preserve">Hang string or holiday lights</t>
  </si>
  <si>
    <t xml:space="preserve">string-lights</t>
  </si>
  <si>
    <t xml:space="preserve">Fix a loose deck board or step</t>
  </si>
  <si>
    <t xml:space="preserve">deck</t>
  </si>
  <si>
    <t xml:space="preserve">pet-door</t>
  </si>
  <si>
    <t xml:space="preserve">Something else</t>
  </si>
  <si>
    <t xml:space="preserve">other</t>
  </si>
  <si>
    <t xml:space="preserve">"Yes" = a job of the same name (or near-identical wording) is in the new list. The prototype was seeded with placeholder jobs before this research.</t>
  </si>
</sst>
</file>

<file path=xl/styles.xml><?xml version="1.0" encoding="utf-8"?>
<styleSheet xmlns="http://schemas.openxmlformats.org/spreadsheetml/2006/main">
  <numFmts count="5">
    <numFmt numFmtId="164" formatCode="General"/>
    <numFmt numFmtId="165" formatCode="General"/>
    <numFmt numFmtId="166" formatCode="0"/>
    <numFmt numFmtId="167" formatCode="0%"/>
    <numFmt numFmtId="168" formatCode="0.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sz val="9"/>
      <color rgb="FF595959"/>
      <name val="Arial"/>
      <family val="0"/>
      <charset val="1"/>
    </font>
    <font>
      <u val="single"/>
      <sz val="10"/>
      <color rgb="FF0563C1"/>
      <name val="Arial"/>
      <family val="0"/>
      <charset val="1"/>
    </font>
    <font>
      <b val="true"/>
      <sz val="14"/>
      <color rgb="FF0F2A4A"/>
      <name val="Arial"/>
      <family val="0"/>
      <charset val="1"/>
    </font>
    <font>
      <sz val="10"/>
      <color rgb="FF0000FF"/>
      <name val="Arial"/>
      <family val="0"/>
      <charset val="1"/>
    </font>
  </fonts>
  <fills count="5">
    <fill>
      <patternFill patternType="none"/>
    </fill>
    <fill>
      <patternFill patternType="gray125"/>
    </fill>
    <fill>
      <patternFill patternType="solid">
        <fgColor rgb="FF1F4E79"/>
        <bgColor rgb="FF0563C1"/>
      </patternFill>
    </fill>
    <fill>
      <patternFill patternType="solid">
        <fgColor rgb="FFF3F7FB"/>
        <bgColor rgb="FFFFFFFF"/>
      </patternFill>
    </fill>
    <fill>
      <patternFill patternType="solid">
        <fgColor rgb="FFFFF2CC"/>
        <bgColor rgb="FFF3F7FB"/>
      </patternFill>
    </fill>
  </fills>
  <borders count="2">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3"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9"/>
          <bgColor rgb="FF000000"/>
        </patternFill>
      </fill>
    </dxf>
    <dxf>
      <fill>
        <patternFill patternType="solid">
          <fgColor rgb="FFF3F7FB"/>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3F7FB"/>
      <rgbColor rgb="FF660066"/>
      <rgbColor rgb="FFFF8080"/>
      <rgbColor rgb="FF0563C1"/>
      <rgbColor rgb="FFD0D7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2A4A"/>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thumbtack.com/p/drywall-repair-cost" TargetMode="External"/><Relationship Id="rId2" Type="http://schemas.openxmlformats.org/officeDocument/2006/relationships/hyperlink" Target="https://www.angi.com/articles/what-are-common-handyman-prices.htm" TargetMode="External"/><Relationship Id="rId3" Type="http://schemas.openxmlformats.org/officeDocument/2006/relationships/hyperlink" Target="https://www.amenify.com/blog/top-handyman-tasks-for-homeowners-in-us" TargetMode="External"/><Relationship Id="rId4" Type="http://schemas.openxmlformats.org/officeDocument/2006/relationships/hyperlink" Target="https://www.thimble.com/blog/what-are-the-most-requested-handyman-services" TargetMode="External"/><Relationship Id="rId5" Type="http://schemas.openxmlformats.org/officeDocument/2006/relationships/hyperlink" Target="https://www.bobvila.com/articles/handyman-services-list/" TargetMode="External"/><Relationship Id="rId6" Type="http://schemas.openxmlformats.org/officeDocument/2006/relationships/hyperlink" Target="https://insightdiy.co.uk/news/us-homeowners-most-likely-to-put-off-painting-over-other-diy-tasks/10838.htm" TargetMode="External"/><Relationship Id="rId7" Type="http://schemas.openxmlformats.org/officeDocument/2006/relationships/hyperlink" Target="https://www.familyhandyman.com/list/most-popular-home-repairs-for-new-homeowners/" TargetMode="External"/><Relationship Id="rId8" Type="http://schemas.openxmlformats.org/officeDocument/2006/relationships/hyperlink" Target="https://corporate.lowes.com/newsroom/press-releases/lowes-debuts-new-way-teach-millennials-how-make-basic-home-repairs-helping-homeowners-build-diy-confidence-and-save-costs-11-10-23" TargetMode="External"/><Relationship Id="rId9" Type="http://schemas.openxmlformats.org/officeDocument/2006/relationships/hyperlink" Target="https://rentalrealestate.com/blog/essential-role-of-handyman-in-rental-property-maintenance/" TargetMode="External"/><Relationship Id="rId10" Type="http://schemas.openxmlformats.org/officeDocument/2006/relationships/hyperlink" Target="https://communityimpact.com/mckinney/business/mr-handyman-of-midwest-collin-county-finds-success-in-full-service-residential-commercial-property-repairs-maintenance/" TargetMode="External"/><Relationship Id="rId11" Type="http://schemas.openxmlformats.org/officeDocument/2006/relationships/hyperlink" Target="https://www.taskrabbit.com/cost-guides/drywall-repair" TargetMode="External"/><Relationship Id="rId12" Type="http://schemas.openxmlformats.org/officeDocument/2006/relationships/hyperlink" Target="https://www.fixr.com/costs/repair-drywall" TargetMode="External"/><Relationship Id="rId13" Type="http://schemas.openxmlformats.org/officeDocument/2006/relationships/hyperlink" Target="https://homegnome.com/blog/cost/drywall-repair-price/" TargetMode="External"/><Relationship Id="rId14" Type="http://schemas.openxmlformats.org/officeDocument/2006/relationships/hyperlink" Target="https://www.thimble.com/blog/what-are-the-most-requested-handyman-services" TargetMode="External"/><Relationship Id="rId15" Type="http://schemas.openxmlformats.org/officeDocument/2006/relationships/hyperlink" Target="https://www.enrichlabs.ai/blog/handyman-marketing-complete-guide-2026" TargetMode="External"/><Relationship Id="rId16" Type="http://schemas.openxmlformats.org/officeDocument/2006/relationships/hyperlink" Target="https://www.taskrabbit.com/locations/san-antonio/home-improvement" TargetMode="External"/><Relationship Id="rId17" Type="http://schemas.openxmlformats.org/officeDocument/2006/relationships/hyperlink" Target="https://themortgagereports.com/57788/how-home-maintenance-savvy-are-you-study-shows-most-americans-need-serious-help" TargetMode="External"/><Relationship Id="rId18" Type="http://schemas.openxmlformats.org/officeDocument/2006/relationships/hyperlink" Target="https://www.thumbtack.com/p/ceiling-fan-install-cost" TargetMode="External"/><Relationship Id="rId19" Type="http://schemas.openxmlformats.org/officeDocument/2006/relationships/hyperlink" Target="https://www.angi.com/articles/how-much-does-ceiling-fan-installation-cost.htm" TargetMode="External"/><Relationship Id="rId20" Type="http://schemas.openxmlformats.org/officeDocument/2006/relationships/hyperlink" Target="https://www.taskrabbit.com/cost-guides/ceiling-fan-installation" TargetMode="External"/><Relationship Id="rId21" Type="http://schemas.openxmlformats.org/officeDocument/2006/relationships/hyperlink" Target="https://www.homeadvisor.com/tloc/Smithville-MO/Ceiling-Fan-Install/" TargetMode="External"/><Relationship Id="rId22" Type="http://schemas.openxmlformats.org/officeDocument/2006/relationships/hyperlink" Target="https://insights.workwave.com/industry/handyman/handyman-services-list-to-offer-customers/" TargetMode="External"/><Relationship Id="rId23" Type="http://schemas.openxmlformats.org/officeDocument/2006/relationships/hyperlink" Target="https://homesmsp.com/2012/04/top-5-home-warranty-claims.html" TargetMode="External"/><Relationship Id="rId24" Type="http://schemas.openxmlformats.org/officeDocument/2006/relationships/hyperlink" Target="https://www.bobvila.com/slideshow/50-things-every-homeowner-should-know-how-to-do-46782/" TargetMode="External"/><Relationship Id="rId25" Type="http://schemas.openxmlformats.org/officeDocument/2006/relationships/hyperlink" Target="https://lula.life/articles/apartment-make-ready-checklist" TargetMode="External"/><Relationship Id="rId26" Type="http://schemas.openxmlformats.org/officeDocument/2006/relationships/hyperlink" Target="https://www.lowes.com/l/install/lighting-and-ceiling-fans" TargetMode="External"/><Relationship Id="rId27" Type="http://schemas.openxmlformats.org/officeDocument/2006/relationships/hyperlink" Target="https://www.homedepot.com/services/c/ceiling-fan-installation/5a565a2bf" TargetMode="External"/><Relationship Id="rId28" Type="http://schemas.openxmlformats.org/officeDocument/2006/relationships/hyperlink" Target="https://www.taskrabbit.com/cost-guides/ceiling-fan-installation" TargetMode="External"/><Relationship Id="rId29" Type="http://schemas.openxmlformats.org/officeDocument/2006/relationships/hyperlink" Target="https://www.taskrabbit.com/blog/ceiling-fan-installation-cost/" TargetMode="External"/><Relationship Id="rId30" Type="http://schemas.openxmlformats.org/officeDocument/2006/relationships/hyperlink" Target="https://taskrabbit.com/locations/seattle/ceiling-fan-installation" TargetMode="External"/><Relationship Id="rId31" Type="http://schemas.openxmlformats.org/officeDocument/2006/relationships/hyperlink" Target="https://www.homeadvisor.com/cost/heating-and-cooling/install-a-ceiling-fan/" TargetMode="External"/><Relationship Id="rId32" Type="http://schemas.openxmlformats.org/officeDocument/2006/relationships/hyperlink" Target="https://homeguide.com/costs/ceiling-fan-installation-cost" TargetMode="External"/><Relationship Id="rId33" Type="http://schemas.openxmlformats.org/officeDocument/2006/relationships/hyperlink" Target="https://www.thumbtack.com/p/fan-installation-cost" TargetMode="External"/><Relationship Id="rId34" Type="http://schemas.openxmlformats.org/officeDocument/2006/relationships/hyperlink" Target="https://www.taskrabbit.com/locations/san-antonio/home-improvement" TargetMode="External"/><Relationship Id="rId35" Type="http://schemas.openxmlformats.org/officeDocument/2006/relationships/hyperlink" Target="https://products.ecomcrew.com/search-term/ceiling%20fans%20without%20lights" TargetMode="External"/><Relationship Id="rId36" Type="http://schemas.openxmlformats.org/officeDocument/2006/relationships/hyperlink" Target="https://www.thumbtack.com/p/lighting-installation-cost" TargetMode="External"/><Relationship Id="rId37" Type="http://schemas.openxmlformats.org/officeDocument/2006/relationships/hyperlink" Target="https://www.taskrabbit.com/cost-guides/light-installation" TargetMode="External"/><Relationship Id="rId38" Type="http://schemas.openxmlformats.org/officeDocument/2006/relationships/hyperlink" Target="https://www.angi.com/articles/light-fixture-repair-cost.htm" TargetMode="External"/><Relationship Id="rId39" Type="http://schemas.openxmlformats.org/officeDocument/2006/relationships/hyperlink" Target="https://www.thimble.com/blog/what-are-the-most-requested-handyman-services" TargetMode="External"/><Relationship Id="rId40" Type="http://schemas.openxmlformats.org/officeDocument/2006/relationships/hyperlink" Target="https://handymanconnection.com/grapevine/2020/09/5-most-common-reasons-to-call-a-handyman" TargetMode="External"/><Relationship Id="rId41" Type="http://schemas.openxmlformats.org/officeDocument/2006/relationships/hyperlink" Target="https://insights.workwave.com/industry/handyman/handyman-services-list-to-offer-customers/" TargetMode="External"/><Relationship Id="rId42" Type="http://schemas.openxmlformats.org/officeDocument/2006/relationships/hyperlink" Target="https://www.repairpricer.com/common-repairs-needed-after-home-inspection/" TargetMode="External"/><Relationship Id="rId43" Type="http://schemas.openxmlformats.org/officeDocument/2006/relationships/hyperlink" Target="https://www.bobvila.com/articles/easy-home-repairs/" TargetMode="External"/><Relationship Id="rId44" Type="http://schemas.openxmlformats.org/officeDocument/2006/relationships/hyperlink" Target="https://support.hemlane.com/hc/en-us/articles/13155323950221-What-types-of-repairs-does-Hemlane-coordinate-with-the-Rent-Ready-service" TargetMode="External"/><Relationship Id="rId45" Type="http://schemas.openxmlformats.org/officeDocument/2006/relationships/hyperlink" Target="https://www.tenantcloud.com/maintenance/the-complete-guide-to-managing-rental-property-maintenance-requests" TargetMode="External"/><Relationship Id="rId46" Type="http://schemas.openxmlformats.org/officeDocument/2006/relationships/hyperlink" Target="https://www.lowes.com/l/install/lighting-and-ceiling-fans" TargetMode="External"/><Relationship Id="rId47" Type="http://schemas.openxmlformats.org/officeDocument/2006/relationships/hyperlink" Target="https://www.homedepot.com/services/c/light-fixture-installation/3135f7cf8" TargetMode="External"/><Relationship Id="rId48" Type="http://schemas.openxmlformats.org/officeDocument/2006/relationships/hyperlink" Target="https://www.homeadvisor.com/cost/electrical/repair-a-lighting-fixture/" TargetMode="External"/><Relationship Id="rId49" Type="http://schemas.openxmlformats.org/officeDocument/2006/relationships/hyperlink" Target="https://www.taskrabbit.com/blog/cost-to-install-light-fixture" TargetMode="External"/><Relationship Id="rId50" Type="http://schemas.openxmlformats.org/officeDocument/2006/relationships/hyperlink" Target="https://www.taskrabbit.com/locations/columbus-auburn/light-installation" TargetMode="External"/><Relationship Id="rId51" Type="http://schemas.openxmlformats.org/officeDocument/2006/relationships/hyperlink" Target="https://www.thimble.com/blog/what-are-the-most-requested-handyman-services" TargetMode="External"/><Relationship Id="rId52" Type="http://schemas.openxmlformats.org/officeDocument/2006/relationships/hyperlink" Target="https://www.angi.com/articles/how-much-should-toilet-repairs-cost.htm" TargetMode="External"/><Relationship Id="rId53" Type="http://schemas.openxmlformats.org/officeDocument/2006/relationships/hyperlink" Target="https://www.angi.com/articles/plumber-cost.htm" TargetMode="External"/><Relationship Id="rId54" Type="http://schemas.openxmlformats.org/officeDocument/2006/relationships/hyperlink" Target="https://www.instaservice.com/blog/?p=38212" TargetMode="External"/><Relationship Id="rId55" Type="http://schemas.openxmlformats.org/officeDocument/2006/relationships/hyperlink" Target="https://www.frontdoor.com/blog/lifestyle/diy-home-improvement-and-repair-jobs-we-most-need-help-with" TargetMode="External"/><Relationship Id="rId56" Type="http://schemas.openxmlformats.org/officeDocument/2006/relationships/hyperlink" Target="https://www.dailymotion.com/video/x87d0sd" TargetMode="External"/><Relationship Id="rId57" Type="http://schemas.openxmlformats.org/officeDocument/2006/relationships/hyperlink" Target="https://todayshomeowner.com/general/guides/diy-home-improvement-projects-by-state/" TargetMode="External"/><Relationship Id="rId58" Type="http://schemas.openxmlformats.org/officeDocument/2006/relationships/hyperlink" Target="https://www.familyhandyman.com/list/most-popular-home-repairs-for-new-homeowners/" TargetMode="External"/><Relationship Id="rId59" Type="http://schemas.openxmlformats.org/officeDocument/2006/relationships/hyperlink" Target="https://www.lowes.com/n/how-to/common-toilet-problems" TargetMode="External"/><Relationship Id="rId60" Type="http://schemas.openxmlformats.org/officeDocument/2006/relationships/hyperlink" Target="https://www.hemlane.com/resources/rental-property-maintenance-requests/" TargetMode="External"/><Relationship Id="rId61" Type="http://schemas.openxmlformats.org/officeDocument/2006/relationships/hyperlink" Target="https://www.avail.com/education/articles/most-reported-tenant-maintenance-issues" TargetMode="External"/><Relationship Id="rId62" Type="http://schemas.openxmlformats.org/officeDocument/2006/relationships/hyperlink" Target="https://www.homedepot.com/services/c/toilet-repair/7d553fd48" TargetMode="External"/><Relationship Id="rId63" Type="http://schemas.openxmlformats.org/officeDocument/2006/relationships/hyperlink" Target="https://apps.apple.com/app/id604419063" TargetMode="External"/><Relationship Id="rId64" Type="http://schemas.openxmlformats.org/officeDocument/2006/relationships/hyperlink" Target="https://www.hometips.com/repair-fix/toilet-repair-costs.html" TargetMode="External"/><Relationship Id="rId65" Type="http://schemas.openxmlformats.org/officeDocument/2006/relationships/hyperlink" Target="https://shipshape.ai/help/troubleshooting/toilet-running" TargetMode="External"/><Relationship Id="rId66" Type="http://schemas.openxmlformats.org/officeDocument/2006/relationships/hyperlink" Target="https://neuhausre.com/how-to-fix-a-running-toilet-austin/" TargetMode="External"/><Relationship Id="rId67" Type="http://schemas.openxmlformats.org/officeDocument/2006/relationships/hyperlink" Target="https://anytimeplumbing.net/?p=962" TargetMode="External"/><Relationship Id="rId68" Type="http://schemas.openxmlformats.org/officeDocument/2006/relationships/hyperlink" Target="https://www.moneytalksnews.com/steps-to-fix-a-running-toilet-before-it-wastes-hundreds-of-dollars/" TargetMode="External"/><Relationship Id="rId69" Type="http://schemas.openxmlformats.org/officeDocument/2006/relationships/hyperlink" Target="https://www.loopexdigital.com/blog/plumbing-keywords-seo-ppc" TargetMode="External"/><Relationship Id="rId70" Type="http://schemas.openxmlformats.org/officeDocument/2006/relationships/hyperlink" Target="https://www.taskrabbit.com/blog/10-common-handyman-tasks-you-can-outsource-instead-of-trying-to-diy/" TargetMode="External"/><Relationship Id="rId71" Type="http://schemas.openxmlformats.org/officeDocument/2006/relationships/hyperlink" Target="https://smb.oxfordeagle.com/article/Home-Repair-Expert-Bryan-Harmon-Explains-the-Most-Common-Handyman-Tasks-in-HelloNation/6a08955bd6b3ec3c381af7f9" TargetMode="External"/><Relationship Id="rId72" Type="http://schemas.openxmlformats.org/officeDocument/2006/relationships/hyperlink" Target="https://www.housecallpro.com/resources/handyman-contract-template-sample/" TargetMode="External"/><Relationship Id="rId73" Type="http://schemas.openxmlformats.org/officeDocument/2006/relationships/hyperlink" Target="https://waypointinspection.com/blog/home-inspection/common-home-inspection-finds/" TargetMode="External"/><Relationship Id="rId74" Type="http://schemas.openxmlformats.org/officeDocument/2006/relationships/hyperlink" Target="https://www.familyhandyman.com/list/most-popular-home-repairs-for-new-homeowners/" TargetMode="External"/><Relationship Id="rId75" Type="http://schemas.openxmlformats.org/officeDocument/2006/relationships/hyperlink" Target="https://todayshomeowner.com/general/guides/diy-home-improvement-projects-by-state/" TargetMode="External"/><Relationship Id="rId76" Type="http://schemas.openxmlformats.org/officeDocument/2006/relationships/hyperlink" Target="https://www.bobvila.com/articles/easy-home-repairs/" TargetMode="External"/><Relationship Id="rId77" Type="http://schemas.openxmlformats.org/officeDocument/2006/relationships/hyperlink" Target="https://rentalrealestate.com/blog/essential-role-of-handyman-in-rental-property-maintenance/" TargetMode="External"/><Relationship Id="rId78" Type="http://schemas.openxmlformats.org/officeDocument/2006/relationships/hyperlink" Target="https://www.mrhandyman.com/nova-arlington-to-haymarket/geo/alexandria/" TargetMode="External"/><Relationship Id="rId79" Type="http://schemas.openxmlformats.org/officeDocument/2006/relationships/hyperlink" Target="https://www.berkeleyparentsnetwork.org/node/417311" TargetMode="External"/><Relationship Id="rId80" Type="http://schemas.openxmlformats.org/officeDocument/2006/relationships/hyperlink" Target="https://ampservices.homedepot.com/en/home/home-services/handiwork/bathtub-and-shower-recaulking.html" TargetMode="External"/><Relationship Id="rId81" Type="http://schemas.openxmlformats.org/officeDocument/2006/relationships/hyperlink" Target="https://tools.wbez.org/recaulking-a-bathtub" TargetMode="External"/><Relationship Id="rId82" Type="http://schemas.openxmlformats.org/officeDocument/2006/relationships/hyperlink" Target="https://www.enrichlabs.ai/blog/handyman-marketing-complete-guide-2026" TargetMode="External"/><Relationship Id="rId83" Type="http://schemas.openxmlformats.org/officeDocument/2006/relationships/hyperlink" Target="https://www.thumbtack.com/p/thermostat-replacement-cost" TargetMode="External"/><Relationship Id="rId84" Type="http://schemas.openxmlformats.org/officeDocument/2006/relationships/hyperlink" Target="https://www.angi.com/articles/how-much-does-it-cost-install-thermostat.htm" TargetMode="External"/><Relationship Id="rId85" Type="http://schemas.openxmlformats.org/officeDocument/2006/relationships/hyperlink" Target="https://landingpages.services.handy.com/services/p-smart-thermostat-install/washington-dc" TargetMode="External"/><Relationship Id="rId86" Type="http://schemas.openxmlformats.org/officeDocument/2006/relationships/hyperlink" Target="https://www.housecallpro.com/resources/working-in-the-trades/handyman-list-ideas/" TargetMode="External"/><Relationship Id="rId87" Type="http://schemas.openxmlformats.org/officeDocument/2006/relationships/hyperlink" Target="https://www.homeserve.com/en-us/media/new-homeowner-survey-shows-growing-number-of-homeowners-face-home-repair-emergencies/" TargetMode="External"/><Relationship Id="rId88" Type="http://schemas.openxmlformats.org/officeDocument/2006/relationships/hyperlink" Target="https://www.tenantcloud.com/maintenance/the-complete-guide-to-managing-rental-property-maintenance-requests" TargetMode="External"/><Relationship Id="rId89" Type="http://schemas.openxmlformats.org/officeDocument/2006/relationships/hyperlink" Target="https://www.bestbuy.com/site/smart-thermostat-installation/9525109.p?skuId=9525109" TargetMode="External"/><Relationship Id="rId90" Type="http://schemas.openxmlformats.org/officeDocument/2006/relationships/hyperlink" Target="https://www.homedepot.com/services/h/smart-home-installation" TargetMode="External"/><Relationship Id="rId91" Type="http://schemas.openxmlformats.org/officeDocument/2006/relationships/hyperlink" Target="https://pocketsuite.io/book/mister-ios-llc/items/smart-devices" TargetMode="External"/><Relationship Id="rId92" Type="http://schemas.openxmlformats.org/officeDocument/2006/relationships/hyperlink" Target="https://qa4-www.canadiantire.ca/en/home-services/smart-home.html" TargetMode="External"/><Relationship Id="rId93" Type="http://schemas.openxmlformats.org/officeDocument/2006/relationships/hyperlink" Target="https://vocal.media/lifehack/the-real-cost-of-building-a-smart-home-a-trade-perspective" TargetMode="External"/><Relationship Id="rId94" Type="http://schemas.openxmlformats.org/officeDocument/2006/relationships/hyperlink" Target="https://talkofthevillages.com/forums/villages-florida-general-discussion-73/ecobee-smart-thermostat-yale-smart-door-lock-ring-doorbell-help-342069" TargetMode="External"/><Relationship Id="rId95" Type="http://schemas.openxmlformats.org/officeDocument/2006/relationships/hyperlink" Target="https://intercom.help/jiffy/en/articles/2203108-smart-home-install" TargetMode="External"/><Relationship Id="rId96" Type="http://schemas.openxmlformats.org/officeDocument/2006/relationships/hyperlink" Target="https://taskrabbit.com/locations/detroit/smart-home-installation" TargetMode="External"/><Relationship Id="rId97" Type="http://schemas.openxmlformats.org/officeDocument/2006/relationships/hyperlink" Target="https://www.seodata.dev/keyword/install-nest-smart-thermostat" TargetMode="External"/><Relationship Id="rId98" Type="http://schemas.openxmlformats.org/officeDocument/2006/relationships/hyperlink" Target="https://hookagency.com/blog/most-searched-home-services/" TargetMode="External"/><Relationship Id="rId99" Type="http://schemas.openxmlformats.org/officeDocument/2006/relationships/hyperlink" Target="https://www.thumbtack.com/p/door-repair-cost" TargetMode="External"/><Relationship Id="rId100" Type="http://schemas.openxmlformats.org/officeDocument/2006/relationships/hyperlink" Target="https://www.angi.com/articles/what-are-common-handyman-prices.htm" TargetMode="External"/><Relationship Id="rId101" Type="http://schemas.openxmlformats.org/officeDocument/2006/relationships/hyperlink" Target="https://www.housecallpro.com/resources/handyman-contract-template-sample/" TargetMode="External"/><Relationship Id="rId102" Type="http://schemas.openxmlformats.org/officeDocument/2006/relationships/hyperlink" Target="https://www.homeadvisor.com/tloc/Hindsville-AR/Doors-Repair" TargetMode="External"/><Relationship Id="rId103" Type="http://schemas.openxmlformats.org/officeDocument/2006/relationships/hyperlink" Target="https://www.repairpricer.com/common-repairs-needed-after-home-inspection/" TargetMode="External"/><Relationship Id="rId104" Type="http://schemas.openxmlformats.org/officeDocument/2006/relationships/hyperlink" Target="https://www.prnewswire.com/news-releases/repair-pricer-inspection-report-reveals-over-a-million-repairs-needed-for-homes-across-the-us-301308868.html" TargetMode="External"/><Relationship Id="rId105" Type="http://schemas.openxmlformats.org/officeDocument/2006/relationships/hyperlink" Target="https://www.frontdoor.com/blog/lifestyle/diy-home-improvement-and-repair-jobs-we-most-need-help-with" TargetMode="External"/><Relationship Id="rId106" Type="http://schemas.openxmlformats.org/officeDocument/2006/relationships/hyperlink" Target="https://www.searchenginejournal.com/google-reveals-popular-searches/213648/" TargetMode="External"/><Relationship Id="rId107" Type="http://schemas.openxmlformats.org/officeDocument/2006/relationships/hyperlink" Target="https://www.bobvila.com/articles/easy-home-repairs/" TargetMode="External"/><Relationship Id="rId108" Type="http://schemas.openxmlformats.org/officeDocument/2006/relationships/hyperlink" Target="https://www.baymgmtgroup.com/blog/rental-property-repair-costs/" TargetMode="External"/><Relationship Id="rId109" Type="http://schemas.openxmlformats.org/officeDocument/2006/relationships/hyperlink" Target="https://www.avail.com/education/articles/most-reported-tenant-maintenance-issues" TargetMode="External"/><Relationship Id="rId110" Type="http://schemas.openxmlformats.org/officeDocument/2006/relationships/hyperlink" Target="https://communityimpact.com/mckinney/business/mr-handyman-of-midwest-collin-county-finds-success-in-full-service-residential-commercial-property-repairs-maintenance/" TargetMode="External"/><Relationship Id="rId111" Type="http://schemas.openxmlformats.org/officeDocument/2006/relationships/hyperlink" Target="https://handymanconnection.com/golden/" TargetMode="External"/><Relationship Id="rId112" Type="http://schemas.openxmlformats.org/officeDocument/2006/relationships/hyperlink" Target="https://www.taskrabbit.com/locations/denver/home-improvement" TargetMode="External"/><Relationship Id="rId113" Type="http://schemas.openxmlformats.org/officeDocument/2006/relationships/hyperlink" Target="https://hdfoundationrepair.com/doors-windows-sticking-foundation-problems-dfw/" TargetMode="External"/><Relationship Id="rId114" Type="http://schemas.openxmlformats.org/officeDocument/2006/relationships/hyperlink" Target="https://www.thumbtack.com/p/garbage-disposal-installation-cost" TargetMode="External"/><Relationship Id="rId115" Type="http://schemas.openxmlformats.org/officeDocument/2006/relationships/hyperlink" Target="https://www.angi.com/articles/how-much-does-drain-cleaning-cost.htm" TargetMode="External"/><Relationship Id="rId116" Type="http://schemas.openxmlformats.org/officeDocument/2006/relationships/hyperlink" Target="https://www.buildzoom.com/answers/t/can-we-use-a-handyman-to-replace-a-garbage-disposal/1837" TargetMode="External"/><Relationship Id="rId117" Type="http://schemas.openxmlformats.org/officeDocument/2006/relationships/hyperlink" Target="https://rosieonthehouse.com/diy/how-can-i-counter-the-need-for-a-home-warranty/" TargetMode="External"/><Relationship Id="rId118" Type="http://schemas.openxmlformats.org/officeDocument/2006/relationships/hyperlink" Target="https://homesmsp.com/2012/04/top-5-home-warranty-claims.html" TargetMode="External"/><Relationship Id="rId119" Type="http://schemas.openxmlformats.org/officeDocument/2006/relationships/hyperlink" Target="https://www.familyhandyman.com/list/most-popular-home-repairs-for-new-homeowners/" TargetMode="External"/><Relationship Id="rId120" Type="http://schemas.openxmlformats.org/officeDocument/2006/relationships/hyperlink" Target="https://www.familyhandyman.com/list/home-improvements-you-should-never-pay-for/" TargetMode="External"/><Relationship Id="rId121" Type="http://schemas.openxmlformats.org/officeDocument/2006/relationships/hyperlink" Target="https://belonghome.com/blog/7-common-rental-property-repairs" TargetMode="External"/><Relationship Id="rId122" Type="http://schemas.openxmlformats.org/officeDocument/2006/relationships/hyperlink" Target="https://oxmaint.com/blog/post/property-maintenance-requests-15-most-common-issues-and-prevention-tips" TargetMode="External"/><Relationship Id="rId123" Type="http://schemas.openxmlformats.org/officeDocument/2006/relationships/hyperlink" Target="https://www.lowes.com/l/install/appliances" TargetMode="External"/><Relationship Id="rId124" Type="http://schemas.openxmlformats.org/officeDocument/2006/relationships/hyperlink" Target="https://www.homedepot.com/services/h/plumbing" TargetMode="External"/><Relationship Id="rId125" Type="http://schemas.openxmlformats.org/officeDocument/2006/relationships/hyperlink" Target="https://homeguide.com/costs/garbage-disposal-installation-cost" TargetMode="External"/><Relationship Id="rId126" Type="http://schemas.openxmlformats.org/officeDocument/2006/relationships/hyperlink" Target="https://www.homeadvisor.com/cost/appliances/garbage-disposal-replacement-cost/" TargetMode="External"/><Relationship Id="rId127" Type="http://schemas.openxmlformats.org/officeDocument/2006/relationships/hyperlink" Target="https://www.fixr.com/costs/garbage-disposal-installation" TargetMode="External"/><Relationship Id="rId128" Type="http://schemas.openxmlformats.org/officeDocument/2006/relationships/hyperlink" Target="https://www.thumbtack.com/p/handyman-prices" TargetMode="External"/><Relationship Id="rId129" Type="http://schemas.openxmlformats.org/officeDocument/2006/relationships/hyperlink" Target="https://www.taskrabbit.com/cost-guides/general-handyman" TargetMode="External"/><Relationship Id="rId130" Type="http://schemas.openxmlformats.org/officeDocument/2006/relationships/hyperlink" Target="https://www.angi.com/articles/plumber-cost.htm" TargetMode="External"/><Relationship Id="rId131" Type="http://schemas.openxmlformats.org/officeDocument/2006/relationships/hyperlink" Target="https://www.bobvila.com/articles/handyman-services-list/" TargetMode="External"/><Relationship Id="rId132" Type="http://schemas.openxmlformats.org/officeDocument/2006/relationships/hyperlink" Target="https://www.instaservice.com/blog/what-does-a-handyman-do-complete-list-of-handyman-services/" TargetMode="External"/><Relationship Id="rId133" Type="http://schemas.openxmlformats.org/officeDocument/2006/relationships/hyperlink" Target="https://www.prnewswire.com/news-releases/repair-pricer-inspection-report-reveals-over-a-million-repairs-needed-for-homes-across-the-us-301308868.html" TargetMode="External"/><Relationship Id="rId134" Type="http://schemas.openxmlformats.org/officeDocument/2006/relationships/hyperlink" Target="https://www.familyhandyman.com/list/home-improvements-you-should-never-pay-for/" TargetMode="External"/><Relationship Id="rId135" Type="http://schemas.openxmlformats.org/officeDocument/2006/relationships/hyperlink" Target="https://corporate.lowes.com/newsroom/press-releases/lowes-debuts-new-way-teach-millennials-how-make-basic-home-repairs-helping-homeowners-build-diy-confidence-and-save-costs-11-10-23" TargetMode="External"/><Relationship Id="rId136" Type="http://schemas.openxmlformats.org/officeDocument/2006/relationships/hyperlink" Target="https://www.mapcon.com/blog/2025/06/top-maintenance-requests-and-how-to-handle-them" TargetMode="External"/><Relationship Id="rId137" Type="http://schemas.openxmlformats.org/officeDocument/2006/relationships/hyperlink" Target="https://www.lowes.com/l/install/sink-faucet" TargetMode="External"/><Relationship Id="rId138" Type="http://schemas.openxmlformats.org/officeDocument/2006/relationships/hyperlink" Target="https://www.homedepot.com/services/c/faucet-replacement" TargetMode="External"/><Relationship Id="rId139" Type="http://schemas.openxmlformats.org/officeDocument/2006/relationships/hyperlink" Target="https://homeguide.com/costs/faucet-installation-cost" TargetMode="External"/><Relationship Id="rId140" Type="http://schemas.openxmlformats.org/officeDocument/2006/relationships/hyperlink" Target="https://www.thumbtack.com/p/sink-repair-cost" TargetMode="External"/><Relationship Id="rId141" Type="http://schemas.openxmlformats.org/officeDocument/2006/relationships/hyperlink" Target="https://www.angi.com/articles/plumber-cost-to-fix-leaky-faucet.htm" TargetMode="External"/><Relationship Id="rId142" Type="http://schemas.openxmlformats.org/officeDocument/2006/relationships/hyperlink" Target="https://www.thumbtack.com/p/sink-repair-cost" TargetMode="External"/><Relationship Id="rId143" Type="http://schemas.openxmlformats.org/officeDocument/2006/relationships/hyperlink" Target="https://www.amenify.com/blog/top-handyman-tasks-for-homeowners-in-us" TargetMode="External"/><Relationship Id="rId144" Type="http://schemas.openxmlformats.org/officeDocument/2006/relationships/hyperlink" Target="https://insights.workwave.com/industry/handyman/handyman-services-list-to-offer-customers/" TargetMode="External"/><Relationship Id="rId145" Type="http://schemas.openxmlformats.org/officeDocument/2006/relationships/hyperlink" Target="https://www.bobvila.com/articles/handyman-services-list/" TargetMode="External"/><Relationship Id="rId146" Type="http://schemas.openxmlformats.org/officeDocument/2006/relationships/hyperlink" Target="https://www.repairpricer.com/common-repairs-needed-after-home-inspection/" TargetMode="External"/><Relationship Id="rId147" Type="http://schemas.openxmlformats.org/officeDocument/2006/relationships/hyperlink" Target="https://www.prnewswire.com/news-releases/repair-pricer-inspection-report-reveals-over-a-million-repairs-needed-for-homes-across-the-us-301308868.html" TargetMode="External"/><Relationship Id="rId148" Type="http://schemas.openxmlformats.org/officeDocument/2006/relationships/hyperlink" Target="https://www.familyhandyman.com/list/most-popular-home-repairs-for-new-homeowners/" TargetMode="External"/><Relationship Id="rId149" Type="http://schemas.openxmlformats.org/officeDocument/2006/relationships/hyperlink" Target="https://www.lowes.com/n/how-to/repair-a-leaky-faucet" TargetMode="External"/><Relationship Id="rId150" Type="http://schemas.openxmlformats.org/officeDocument/2006/relationships/hyperlink" Target="https://www.bobvila.com/diy/diy-home-repairs/" TargetMode="External"/><Relationship Id="rId151" Type="http://schemas.openxmlformats.org/officeDocument/2006/relationships/hyperlink" Target="https://www.hemlane.com/resources/rental-property-maintenance-requests/" TargetMode="External"/><Relationship Id="rId152" Type="http://schemas.openxmlformats.org/officeDocument/2006/relationships/hyperlink" Target="https://www.avail.com/education/articles/most-reported-tenant-maintenance-issues" TargetMode="External"/><Relationship Id="rId153" Type="http://schemas.openxmlformats.org/officeDocument/2006/relationships/hyperlink" Target="https://www.thumbtack.com/p/sink-repair-cost" TargetMode="External"/><Relationship Id="rId154" Type="http://schemas.openxmlformats.org/officeDocument/2006/relationships/hyperlink" Target="https://www.servicemagic.com/tloc/San-Bernardino-CA/Faucets-Fixtures-and-Pipes-Repair-or-Replace/" TargetMode="External"/><Relationship Id="rId155" Type="http://schemas.openxmlformats.org/officeDocument/2006/relationships/hyperlink" Target="https://www.bigrentz.com/blog/home-maintenance-survey" TargetMode="External"/><Relationship Id="rId156" Type="http://schemas.openxmlformats.org/officeDocument/2006/relationships/hyperlink" Target="https://ifamagazine.com/diy-britain-10-home-repairs-brits-struggle-with-most-from-clogged-toilets-to-changing-bulbs-2/" TargetMode="External"/><Relationship Id="rId157" Type="http://schemas.openxmlformats.org/officeDocument/2006/relationships/hyperlink" Target="https://www.angi.com/articles/how-much-does-it-cost-install-outdoor-outlet.htm" TargetMode="External"/><Relationship Id="rId158" Type="http://schemas.openxmlformats.org/officeDocument/2006/relationships/hyperlink" Target="https://www.amenify.com/blog/top-handyman-tasks-for-homeowners-in-us" TargetMode="External"/><Relationship Id="rId159" Type="http://schemas.openxmlformats.org/officeDocument/2006/relationships/hyperlink" Target="https://www.bobvila.com/articles/handyman-services-list/" TargetMode="External"/><Relationship Id="rId160" Type="http://schemas.openxmlformats.org/officeDocument/2006/relationships/hyperlink" Target="https://www.repairpricer.com/common-repairs-needed-after-home-inspection/" TargetMode="External"/><Relationship Id="rId161" Type="http://schemas.openxmlformats.org/officeDocument/2006/relationships/hyperlink" Target="https://www.prnewswire.com/news-releases/repair-pricer-inspection-report-reveals-over-a-million-repairs-needed-for-homes-across-the-us-301308868.html" TargetMode="External"/><Relationship Id="rId162" Type="http://schemas.openxmlformats.org/officeDocument/2006/relationships/hyperlink" Target="https://www.bobvila.com/articles/easy-home-repairs/" TargetMode="External"/><Relationship Id="rId163" Type="http://schemas.openxmlformats.org/officeDocument/2006/relationships/hyperlink" Target="https://corporate.lowes.com/newsroom/press-releases/lowes-debuts-new-way-teach-millennials-how-make-basic-home-repairs-helping-homeowners-build-diy-confidence-and-save-costs-11-10-23" TargetMode="External"/><Relationship Id="rId164" Type="http://schemas.openxmlformats.org/officeDocument/2006/relationships/hyperlink" Target="https://www.tenantcloud.com/maintenance/the-complete-guide-to-managing-rental-property-maintenance-requests" TargetMode="External"/><Relationship Id="rId165" Type="http://schemas.openxmlformats.org/officeDocument/2006/relationships/hyperlink" Target="https://www.homedepot.com/services/c/outlet-installation/dd32342b6" TargetMode="External"/><Relationship Id="rId166" Type="http://schemas.openxmlformats.org/officeDocument/2006/relationships/hyperlink" Target="https://www.angi.com/articles/cost-replace-27-electrical-outlets.htm" TargetMode="External"/><Relationship Id="rId167" Type="http://schemas.openxmlformats.org/officeDocument/2006/relationships/hyperlink" Target="https://homeguide.com/costs/cost-to-replace-an-outlet" TargetMode="External"/><Relationship Id="rId168" Type="http://schemas.openxmlformats.org/officeDocument/2006/relationships/hyperlink" Target="https://www.angi.com/articles/how-much-does-it-cost-install-outlet.htm" TargetMode="External"/><Relationship Id="rId169" Type="http://schemas.openxmlformats.org/officeDocument/2006/relationships/hyperlink" Target="https://www.thimble.com/blog/what-are-the-most-requested-handyman-services" TargetMode="External"/><Relationship Id="rId170" Type="http://schemas.openxmlformats.org/officeDocument/2006/relationships/hyperlink" Target="https://www.instaservice.com/blog/?p=38331" TargetMode="External"/><Relationship Id="rId171" Type="http://schemas.openxmlformats.org/officeDocument/2006/relationships/hyperlink" Target="https://handoff.ai/blog/handyman-services-list-the-ultimate-guide" TargetMode="External"/><Relationship Id="rId172" Type="http://schemas.openxmlformats.org/officeDocument/2006/relationships/hyperlink" Target="https://themreport.com/?p=7821683" TargetMode="External"/><Relationship Id="rId173" Type="http://schemas.openxmlformats.org/officeDocument/2006/relationships/hyperlink" Target="https://www.familyhandyman.com/list/most-popular-home-repairs-for-new-homeowners/" TargetMode="External"/><Relationship Id="rId174" Type="http://schemas.openxmlformats.org/officeDocument/2006/relationships/hyperlink" Target="https://support.hemlane.com/hc/en-us/articles/13155323950221-What-types-of-repairs-does-Hemlane-coordinate-with-the-Rent-Ready-service" TargetMode="External"/><Relationship Id="rId175" Type="http://schemas.openxmlformats.org/officeDocument/2006/relationships/hyperlink" Target="https://www.berkeleyparentsnetwork.org/node/417311" TargetMode="External"/><Relationship Id="rId176" Type="http://schemas.openxmlformats.org/officeDocument/2006/relationships/hyperlink" Target="https://www.thimble.com/blog/what-are-the-most-requested-handyman-services" TargetMode="External"/><Relationship Id="rId177" Type="http://schemas.openxmlformats.org/officeDocument/2006/relationships/hyperlink" Target="https://www.globenewswire.com/news-release/2025/01/28/3016441/0/en/Angi-Releases-2024-State-of-Home-Spending-Report.html" TargetMode="External"/><Relationship Id="rId178" Type="http://schemas.openxmlformats.org/officeDocument/2006/relationships/hyperlink" Target="https://www.taskrabbit.com/cost-guides/wall-mount-tv" TargetMode="External"/><Relationship Id="rId179" Type="http://schemas.openxmlformats.org/officeDocument/2006/relationships/hyperlink" Target="https://www.thumbtack.com/p/tv-wall-mount-install-cost" TargetMode="External"/><Relationship Id="rId180" Type="http://schemas.openxmlformats.org/officeDocument/2006/relationships/hyperlink" Target="https://www.angi.com/articles/how-much-does-buying-and-repairing-tv-cost.htm" TargetMode="External"/><Relationship Id="rId181" Type="http://schemas.openxmlformats.org/officeDocument/2006/relationships/hyperlink" Target="https://getjobber.com/academy/handyman/handyman-services-list/" TargetMode="External"/><Relationship Id="rId182" Type="http://schemas.openxmlformats.org/officeDocument/2006/relationships/hyperlink" Target="https://www.taskrabbit.com/blog/10-common-handyman-tasks-you-can-outsource-instead-of-trying-to-diy/" TargetMode="External"/><Relationship Id="rId183" Type="http://schemas.openxmlformats.org/officeDocument/2006/relationships/hyperlink" Target="https://www.familyhandyman.com/list/home-improvements-you-should-never-pay-for/" TargetMode="External"/><Relationship Id="rId184" Type="http://schemas.openxmlformats.org/officeDocument/2006/relationships/hyperlink" Target="https://www.asinsight.com/report/US/wall-tv-mount" TargetMode="External"/><Relationship Id="rId185" Type="http://schemas.openxmlformats.org/officeDocument/2006/relationships/hyperlink" Target="https://www.washingtontimes.com/news/2016/nov/24/handy-crowdsourced-handyman-service-will-pick-up-o/" TargetMode="External"/><Relationship Id="rId186" Type="http://schemas.openxmlformats.org/officeDocument/2006/relationships/hyperlink" Target="https://www.bestbuy.com/product/tv-basic-mounting-56-to-90/JCQ6HKTRGY" TargetMode="External"/><Relationship Id="rId187" Type="http://schemas.openxmlformats.org/officeDocument/2006/relationships/hyperlink" Target="https://www.taskrabbit.com/" TargetMode="External"/><Relationship Id="rId188" Type="http://schemas.openxmlformats.org/officeDocument/2006/relationships/hyperlink" Target="https://sunset.com/home-garden/design/most-popular-home-projects-summer-2024" TargetMode="External"/><Relationship Id="rId189" Type="http://schemas.openxmlformats.org/officeDocument/2006/relationships/hyperlink" Target="https://www.thumbtack.com/pa/pittsburgh/wall-hanging-services" TargetMode="External"/><Relationship Id="rId190" Type="http://schemas.openxmlformats.org/officeDocument/2006/relationships/hyperlink" Target="https://www.taskrabbit.com/locations/dallas/wall-mount-tv" TargetMode="External"/><Relationship Id="rId191" Type="http://schemas.openxmlformats.org/officeDocument/2006/relationships/hyperlink" Target="https://www.enrichlabs.ai/blog/handyman-marketing-complete-guide-2026" TargetMode="External"/><Relationship Id="rId192" Type="http://schemas.openxmlformats.org/officeDocument/2006/relationships/hyperlink" Target="https://www.thumbtack.com/tx/houston/wall-hanging-services" TargetMode="External"/><Relationship Id="rId193" Type="http://schemas.openxmlformats.org/officeDocument/2006/relationships/hyperlink" Target="https://www.thumbtack.com/tx/dallas/wall-hanging-services" TargetMode="External"/><Relationship Id="rId194" Type="http://schemas.openxmlformats.org/officeDocument/2006/relationships/hyperlink" Target="https://www.asinsight.com/report/US/tv-wall-mount" TargetMode="External"/><Relationship Id="rId195" Type="http://schemas.openxmlformats.org/officeDocument/2006/relationships/hyperlink" Target="https://www.asinsight.com/report/US/tv-mount" TargetMode="External"/><Relationship Id="rId196" Type="http://schemas.openxmlformats.org/officeDocument/2006/relationships/hyperlink" Target="https://themortgagereports.com/57788/how-home-maintenance-savvy-are-you-study-shows-most-americans-need-serious-help" TargetMode="External"/><Relationship Id="rId197" Type="http://schemas.openxmlformats.org/officeDocument/2006/relationships/hyperlink" Target="https://www.thumbtack.com/p/locksmiths-prices" TargetMode="External"/><Relationship Id="rId198" Type="http://schemas.openxmlformats.org/officeDocument/2006/relationships/hyperlink" Target="https://apps.apple.com/app/id604419063" TargetMode="External"/><Relationship Id="rId199" Type="http://schemas.openxmlformats.org/officeDocument/2006/relationships/hyperlink" Target="https://academy.getjobber.com/handyman-services-list/" TargetMode="External"/><Relationship Id="rId200" Type="http://schemas.openxmlformats.org/officeDocument/2006/relationships/hyperlink" Target="https://www.homedepot.com/c/alp/diy-workshops-homeowner-101-indoor/sdki-urjk" TargetMode="External"/><Relationship Id="rId201" Type="http://schemas.openxmlformats.org/officeDocument/2006/relationships/hyperlink" Target="https://www.familyhandyman.com/list/stop-hiring-out-for-these-home-repairs/" TargetMode="External"/><Relationship Id="rId202" Type="http://schemas.openxmlformats.org/officeDocument/2006/relationships/hyperlink" Target="https://www.hemlane.com/resources/rental-property-maintenance-requests/" TargetMode="External"/><Relationship Id="rId203" Type="http://schemas.openxmlformats.org/officeDocument/2006/relationships/hyperlink" Target="https://www.baymgmtgroup.com/blog/rental-property-repair-costs/" TargetMode="External"/><Relationship Id="rId204" Type="http://schemas.openxmlformats.org/officeDocument/2006/relationships/hyperlink" Target="https://www.bestbuy.com/site/smart-door-lock-installation/5577861.p?skuId=5577861" TargetMode="External"/><Relationship Id="rId205" Type="http://schemas.openxmlformats.org/officeDocument/2006/relationships/hyperlink" Target="https://www.homeserve.com/blog/cost-guide/deadbolt-installation" TargetMode="External"/><Relationship Id="rId206" Type="http://schemas.openxmlformats.org/officeDocument/2006/relationships/hyperlink" Target="https://angi.com/articles/keys-home-locksmith-assistance-and-costs.htm" TargetMode="External"/><Relationship Id="rId207" Type="http://schemas.openxmlformats.org/officeDocument/2006/relationships/hyperlink" Target="https://www.taskrabbit.com/locations/denver/home-improvement" TargetMode="External"/><Relationship Id="rId208" Type="http://schemas.openxmlformats.org/officeDocument/2006/relationships/hyperlink" Target="https://www.taskrabbit.com/blog/ikea-furniture-assembly-cost/" TargetMode="External"/><Relationship Id="rId209" Type="http://schemas.openxmlformats.org/officeDocument/2006/relationships/hyperlink" Target="https://www.thumbtack.com/p/furniture-assembly-cost" TargetMode="External"/><Relationship Id="rId210" Type="http://schemas.openxmlformats.org/officeDocument/2006/relationships/hyperlink" Target="https://www.taskrabbit.com/blog/2024-trend-report/" TargetMode="External"/><Relationship Id="rId211" Type="http://schemas.openxmlformats.org/officeDocument/2006/relationships/hyperlink" Target="https://www.amenify.com/blog/top-handyman-tasks-for-homeowners-in-us" TargetMode="External"/><Relationship Id="rId212" Type="http://schemas.openxmlformats.org/officeDocument/2006/relationships/hyperlink" Target="https://getjobber.com/academy/handyman/handyman-services-list/" TargetMode="External"/><Relationship Id="rId213" Type="http://schemas.openxmlformats.org/officeDocument/2006/relationships/hyperlink" Target="https://www.taskrabbit.com/blog/10-common-handyman-tasks-you-can-outsource-instead-of-trying-to-diy/" TargetMode="External"/><Relationship Id="rId214" Type="http://schemas.openxmlformats.org/officeDocument/2006/relationships/hyperlink" Target="https://invoicefly.com/academy/what-does-a-handyman-do/" TargetMode="External"/><Relationship Id="rId215" Type="http://schemas.openxmlformats.org/officeDocument/2006/relationships/hyperlink" Target="https://www.12onyourside.com/story/33704059/amazon-home-services-coming-to-richmond/" TargetMode="External"/><Relationship Id="rId216" Type="http://schemas.openxmlformats.org/officeDocument/2006/relationships/hyperlink" Target="https://www.washingtontimes.com/news/2016/nov/24/handy-crowdsourced-handyman-service-will-pick-up-o/" TargetMode="External"/><Relationship Id="rId217" Type="http://schemas.openxmlformats.org/officeDocument/2006/relationships/hyperlink" Target="https://www.taskrabbit.com/" TargetMode="External"/><Relationship Id="rId218" Type="http://schemas.openxmlformats.org/officeDocument/2006/relationships/hyperlink" Target="https://sunset.com/home-garden/design/most-popular-home-projects-summer-2024" TargetMode="External"/><Relationship Id="rId219" Type="http://schemas.openxmlformats.org/officeDocument/2006/relationships/hyperlink" Target="https://www.taskrabbit.com/services/homary/assemble-furniture" TargetMode="External"/><Relationship Id="rId220" Type="http://schemas.openxmlformats.org/officeDocument/2006/relationships/hyperlink" Target="https://www.taskrabbit.com/blog/wp-json/wp/v2/posts/30853" TargetMode="External"/><Relationship Id="rId221" Type="http://schemas.openxmlformats.org/officeDocument/2006/relationships/hyperlink" Target="https://www.taskrabbit.com/locations/chicago/assemble-ikea-furniture" TargetMode="External"/><Relationship Id="rId222" Type="http://schemas.openxmlformats.org/officeDocument/2006/relationships/hyperlink" Target="https://www.mybuilder.com/handyman/price-guides/ikea-assembly-cost" TargetMode="External"/><Relationship Id="rId223" Type="http://schemas.openxmlformats.org/officeDocument/2006/relationships/hyperlink" Target="https://www.taskrabbit.com/locations/san-antonio/home-improvement" TargetMode="External"/><Relationship Id="rId224" Type="http://schemas.openxmlformats.org/officeDocument/2006/relationships/hyperlink" Target="https://www.enrichlabs.ai/blog/handyman-marketing-complete-guide-2026" TargetMode="External"/><Relationship Id="rId225" Type="http://schemas.openxmlformats.org/officeDocument/2006/relationships/hyperlink" Target="https://www.thumbtack.com/tx/dallas/furniture-assembly" TargetMode="External"/><Relationship Id="rId226" Type="http://schemas.openxmlformats.org/officeDocument/2006/relationships/hyperlink" Target="https://marketkeep.com/seo-keywords-for-handyman-services/" TargetMode="External"/><Relationship Id="rId227" Type="http://schemas.openxmlformats.org/officeDocument/2006/relationships/hyperlink" Target="https://www.angi.com/articles/what-are-common-handyman-prices.htm" TargetMode="External"/><Relationship Id="rId228" Type="http://schemas.openxmlformats.org/officeDocument/2006/relationships/hyperlink" Target="https://www.taskrabbit.com/" TargetMode="External"/><Relationship Id="rId229" Type="http://schemas.openxmlformats.org/officeDocument/2006/relationships/hyperlink" Target="https://www.airtasker.com/us/costs/handyman/handyman-prices/" TargetMode="External"/><Relationship Id="rId230" Type="http://schemas.openxmlformats.org/officeDocument/2006/relationships/hyperlink" Target="https://www.bobvila.com/articles/handyman-services-list/" TargetMode="External"/><Relationship Id="rId231" Type="http://schemas.openxmlformats.org/officeDocument/2006/relationships/hyperlink" Target="https://www.instaservice.com/blog/what-does-a-handyman-do-complete-list-of-handyman-services/" TargetMode="External"/><Relationship Id="rId232" Type="http://schemas.openxmlformats.org/officeDocument/2006/relationships/hyperlink" Target="https://www.bobvila.com/slideshow/50-things-every-homeowner-should-know-how-to-do-46782/" TargetMode="External"/><Relationship Id="rId233" Type="http://schemas.openxmlformats.org/officeDocument/2006/relationships/hyperlink" Target="https://orders.handy.com/services/hanging-pictures-shelves" TargetMode="External"/><Relationship Id="rId234" Type="http://schemas.openxmlformats.org/officeDocument/2006/relationships/hyperlink" Target="https://www.homedepot.com/l/SW-Tulsa/OK/Tulsa/74137/3915/services" TargetMode="External"/><Relationship Id="rId235" Type="http://schemas.openxmlformats.org/officeDocument/2006/relationships/hyperlink" Target="https://www.taskrabbit.com/" TargetMode="External"/><Relationship Id="rId236" Type="http://schemas.openxmlformats.org/officeDocument/2006/relationships/hyperlink" Target="https://www.taskrabbit.com/locations/dallas/shelf-mounting" TargetMode="External"/><Relationship Id="rId237" Type="http://schemas.openxmlformats.org/officeDocument/2006/relationships/hyperlink" Target="https://www.taskrabbit.com/locations/fort-worth/shelf-mounting" TargetMode="External"/><Relationship Id="rId238" Type="http://schemas.openxmlformats.org/officeDocument/2006/relationships/hyperlink" Target="https://www.taskrabbit.com/locations/san-antonio/home-improvement" TargetMode="External"/><Relationship Id="rId239" Type="http://schemas.openxmlformats.org/officeDocument/2006/relationships/hyperlink" Target="https://handymanconnection.com/victoria/?p=736105" TargetMode="External"/><Relationship Id="rId240" Type="http://schemas.openxmlformats.org/officeDocument/2006/relationships/hyperlink" Target="https://themortgagereports.com/57788/how-home-maintenance-savvy-are-you-study-shows-most-americans-need-serious-help" TargetMode="External"/><Relationship Id="rId241" Type="http://schemas.openxmlformats.org/officeDocument/2006/relationships/hyperlink" Target="https://www.angi.com/articles/how-much-does-installing-exterior-door-cost.htm" TargetMode="External"/><Relationship Id="rId242" Type="http://schemas.openxmlformats.org/officeDocument/2006/relationships/hyperlink" Target="https://www.har.com/web/jacoblopez/blogs/146556" TargetMode="External"/><Relationship Id="rId243" Type="http://schemas.openxmlformats.org/officeDocument/2006/relationships/hyperlink" Target="https://www.familyhandyman.com/list/15-diy-repairs-you-may-not-know-you-can-make-yourself/" TargetMode="External"/><Relationship Id="rId244" Type="http://schemas.openxmlformats.org/officeDocument/2006/relationships/hyperlink" Target="https://www.familyhandyman.com/list/home-improvements-you-should-never-pay-for/" TargetMode="External"/><Relationship Id="rId245" Type="http://schemas.openxmlformats.org/officeDocument/2006/relationships/hyperlink" Target="https://www.lowes.com/n/how-to/diy-projects-new-homeowners" TargetMode="External"/><Relationship Id="rId246" Type="http://schemas.openxmlformats.org/officeDocument/2006/relationships/hyperlink" Target="https://oxmaint.com/blog/post/property-maintenance-requests-15-most-common-issues-and-prevention-tips" TargetMode="External"/><Relationship Id="rId247" Type="http://schemas.openxmlformats.org/officeDocument/2006/relationships/hyperlink" Target="https://www.homedepot.com/services/c/door-hardware-installation/7d3f00689" TargetMode="External"/><Relationship Id="rId248" Type="http://schemas.openxmlformats.org/officeDocument/2006/relationships/hyperlink" Target="https://www.mrhandyman.com/wheaton-hinsdale/geo/hinsdale/" TargetMode="External"/><Relationship Id="rId249" Type="http://schemas.openxmlformats.org/officeDocument/2006/relationships/hyperlink" Target="https://www.homeadvisor.com/cost/doors-and-windows/weatherstripping-replacement-cost" TargetMode="External"/><Relationship Id="rId250" Type="http://schemas.openxmlformats.org/officeDocument/2006/relationships/hyperlink" Target="https://www.housedoctors.com/austin-tx/blog/categories/handyman-services/preparing-your-home-for-austins-brutal-summer/" TargetMode="External"/><Relationship Id="rId251" Type="http://schemas.openxmlformats.org/officeDocument/2006/relationships/hyperlink" Target="https://www.mrhandyman.com/plano/about-us/ask-a-pro/summer-home-prep-repairs-plano/" TargetMode="External"/><Relationship Id="rId252" Type="http://schemas.openxmlformats.org/officeDocument/2006/relationships/hyperlink" Target="https://www.angi.com/articles/how-much-does-drain-cleaning-cost.htm" TargetMode="External"/><Relationship Id="rId253" Type="http://schemas.openxmlformats.org/officeDocument/2006/relationships/hyperlink" Target="https://www.upcover.com/blog/most-requested-handyman-services-a-guide-for-success" TargetMode="External"/><Relationship Id="rId254" Type="http://schemas.openxmlformats.org/officeDocument/2006/relationships/hyperlink" Target="https://www.homeserve.com/en-us/media/new-homeserve-survey-shows-growing-number-of-homeowners-face-home-repair-emergencies/" TargetMode="External"/><Relationship Id="rId255" Type="http://schemas.openxmlformats.org/officeDocument/2006/relationships/hyperlink" Target="https://www.homeserve.com/media/biannual-state-of-the-home-survey-spring-2020" TargetMode="External"/><Relationship Id="rId256" Type="http://schemas.openxmlformats.org/officeDocument/2006/relationships/hyperlink" Target="https://www.bobvila.com/slideshow/30-things-every-homeowner-should-know-how-to-do-46782" TargetMode="External"/><Relationship Id="rId257" Type="http://schemas.openxmlformats.org/officeDocument/2006/relationships/hyperlink" Target="https://www.thisoldhouse.com/plumbing/no-sweat-plumbing-repairs" TargetMode="External"/><Relationship Id="rId258" Type="http://schemas.openxmlformats.org/officeDocument/2006/relationships/hyperlink" Target="https://www.avail.com/education/articles/most-reported-tenant-maintenance-issues" TargetMode="External"/><Relationship Id="rId259" Type="http://schemas.openxmlformats.org/officeDocument/2006/relationships/hyperlink" Target="https://ipropertymanagement.com/guides/rental-property-maintenance" TargetMode="External"/><Relationship Id="rId260" Type="http://schemas.openxmlformats.org/officeDocument/2006/relationships/hyperlink" Target="https://www.hometips.com/repair-fix/toilet-repair-costs.html" TargetMode="External"/><Relationship Id="rId261" Type="http://schemas.openxmlformats.org/officeDocument/2006/relationships/hyperlink" Target="https://anytimeplumbing.net/?p=962" TargetMode="External"/><Relationship Id="rId262" Type="http://schemas.openxmlformats.org/officeDocument/2006/relationships/hyperlink" Target="https://ifamagazine.com/diy-britain-10-home-repairs-brits-struggle-with-most-from-clogged-toilets-to-changing-bulbs-2/" TargetMode="External"/><Relationship Id="rId263" Type="http://schemas.openxmlformats.org/officeDocument/2006/relationships/hyperlink" Target="https://www.angi.com/articles/how-much-does-it-cost-replace-light-switch.htm" TargetMode="External"/><Relationship Id="rId264" Type="http://schemas.openxmlformats.org/officeDocument/2006/relationships/hyperlink" Target="https://www.bark.com/en/us/handyman/new-york/" TargetMode="External"/><Relationship Id="rId265" Type="http://schemas.openxmlformats.org/officeDocument/2006/relationships/hyperlink" Target="https://www.bobvila.com/articles/handyman-services-list/" TargetMode="External"/><Relationship Id="rId266" Type="http://schemas.openxmlformats.org/officeDocument/2006/relationships/hyperlink" Target="https://www.buildzoom.com/answers/t/can-we-use-a-handyman-to-replace-a-garbage-disposal/1837" TargetMode="External"/><Relationship Id="rId267" Type="http://schemas.openxmlformats.org/officeDocument/2006/relationships/hyperlink" Target="https://www.repairpricer.com/common-repairs-needed-after-home-inspection/" TargetMode="External"/><Relationship Id="rId268" Type="http://schemas.openxmlformats.org/officeDocument/2006/relationships/hyperlink" Target="https://www.familyhandyman.com/list/15-diy-repairs-you-may-not-know-you-can-make-yourself/" TargetMode="External"/><Relationship Id="rId269" Type="http://schemas.openxmlformats.org/officeDocument/2006/relationships/hyperlink" Target="https://corporate.lowes.com/newsroom/press-releases/lowes-debuts-new-way-teach-millennials-how-make-basic-home-repairs-helping-homeowners-build-diy-confidence-and-save-costs-11-10-23" TargetMode="External"/><Relationship Id="rId270" Type="http://schemas.openxmlformats.org/officeDocument/2006/relationships/hyperlink" Target="https://www.hemlane.com/resources/rental-property-maintenance-requests/" TargetMode="External"/><Relationship Id="rId271" Type="http://schemas.openxmlformats.org/officeDocument/2006/relationships/hyperlink" Target="https://www.homedepot.com/services/h/smart-home-installation" TargetMode="External"/><Relationship Id="rId272" Type="http://schemas.openxmlformats.org/officeDocument/2006/relationships/hyperlink" Target="https://lowes.com/store/2833-show-low-az/smart-home-installation" TargetMode="External"/><Relationship Id="rId273" Type="http://schemas.openxmlformats.org/officeDocument/2006/relationships/hyperlink" Target="https://www.thumbtack.com/p/toilet-installation-cost" TargetMode="External"/><Relationship Id="rId274" Type="http://schemas.openxmlformats.org/officeDocument/2006/relationships/hyperlink" Target="https://www.instaservice.com/blog/?p=38212" TargetMode="External"/><Relationship Id="rId275" Type="http://schemas.openxmlformats.org/officeDocument/2006/relationships/hyperlink" Target="https://www.frontdoor.com/blog/lifestyle/diy-home-improvement-and-repair-jobs-we-most-need-help-with" TargetMode="External"/><Relationship Id="rId276" Type="http://schemas.openxmlformats.org/officeDocument/2006/relationships/hyperlink" Target="https://corporate.lowes.com/newsroom/press-releases/lowes-debuts-new-way-teach-millennials-how-make-basic-home-repairs-helping-homeowners-build-diy-confidence-and-save-costs-11-10-23" TargetMode="External"/><Relationship Id="rId277" Type="http://schemas.openxmlformats.org/officeDocument/2006/relationships/hyperlink" Target="https://lowes.com/l/install/bathroom" TargetMode="External"/><Relationship Id="rId278" Type="http://schemas.openxmlformats.org/officeDocument/2006/relationships/hyperlink" Target="https://www.homedepot.com/services/h/plumbing" TargetMode="External"/><Relationship Id="rId279" Type="http://schemas.openxmlformats.org/officeDocument/2006/relationships/hyperlink" Target="https://www.berkeleyparentsnetwork.org/node/417311" TargetMode="External"/><Relationship Id="rId280" Type="http://schemas.openxmlformats.org/officeDocument/2006/relationships/hyperlink" Target="https://www.taskrabbit.com/locations/san-antonio/home-improvement" TargetMode="External"/><Relationship Id="rId281" Type="http://schemas.openxmlformats.org/officeDocument/2006/relationships/hyperlink" Target="https://www.angi.com/articles/cost-to-repair-leaking-pipe.htm" TargetMode="External"/><Relationship Id="rId282" Type="http://schemas.openxmlformats.org/officeDocument/2006/relationships/hyperlink" Target="https://www.angi.com/articles/hire-handyman-complete-your-honey-do-list.htm" TargetMode="External"/><Relationship Id="rId283" Type="http://schemas.openxmlformats.org/officeDocument/2006/relationships/hyperlink" Target="https://www.bobvila.com/articles/handyman-services-list/" TargetMode="External"/><Relationship Id="rId284" Type="http://schemas.openxmlformats.org/officeDocument/2006/relationships/hyperlink" Target="https://www.homeserve.com/media/biannual-state-of-the-home-survey-spring-2020" TargetMode="External"/><Relationship Id="rId285" Type="http://schemas.openxmlformats.org/officeDocument/2006/relationships/hyperlink" Target="https://www.har.com/web/jacoblopez/blogs/146556" TargetMode="External"/><Relationship Id="rId286" Type="http://schemas.openxmlformats.org/officeDocument/2006/relationships/hyperlink" Target="https://www.familyhandyman.com/list/home-improvements-you-should-never-pay-for/" TargetMode="External"/><Relationship Id="rId287" Type="http://schemas.openxmlformats.org/officeDocument/2006/relationships/hyperlink" Target="https://www.bobvila.com/diy/diy-home-repairs/" TargetMode="External"/><Relationship Id="rId288" Type="http://schemas.openxmlformats.org/officeDocument/2006/relationships/hyperlink" Target="https://www.multifamilyinsiders.com/apartment-ideas/apartment-maintenance/10457-most-common-service-requests" TargetMode="External"/><Relationship Id="rId289" Type="http://schemas.openxmlformats.org/officeDocument/2006/relationships/hyperlink" Target="https://www.hemlane.com/resources/rental-property-maintenance-requests/" TargetMode="External"/><Relationship Id="rId290" Type="http://schemas.openxmlformats.org/officeDocument/2006/relationships/hyperlink" Target="https://www.thumbtack.com/p/sink-repair-cost" TargetMode="External"/><Relationship Id="rId291" Type="http://schemas.openxmlformats.org/officeDocument/2006/relationships/hyperlink" Target="https://www.servicemagic.com/tloc/San-Bernardino-CA/Faucets-Fixtures-and-Pipes-Repair-or-Replace/" TargetMode="External"/><Relationship Id="rId292" Type="http://schemas.openxmlformats.org/officeDocument/2006/relationships/hyperlink" Target="https://apps.apple.com/app/id604419063" TargetMode="External"/><Relationship Id="rId293" Type="http://schemas.openxmlformats.org/officeDocument/2006/relationships/hyperlink" Target="https://getjobber.com/academy/handyman/handyman-services-list/" TargetMode="External"/><Relationship Id="rId294" Type="http://schemas.openxmlformats.org/officeDocument/2006/relationships/hyperlink" Target="https://academy.getjobber.com/handyman-services-list/" TargetMode="External"/><Relationship Id="rId295" Type="http://schemas.openxmlformats.org/officeDocument/2006/relationships/hyperlink" Target="https://www.frontdoor.com/blog/lifestyle/diy-home-improvement-and-repair-jobs-we-most-need-help-with" TargetMode="External"/><Relationship Id="rId296" Type="http://schemas.openxmlformats.org/officeDocument/2006/relationships/hyperlink" Target="https://www.baymgmtgroup.com/blog/rental-property-repair-costs/" TargetMode="External"/><Relationship Id="rId297" Type="http://schemas.openxmlformats.org/officeDocument/2006/relationships/hyperlink" Target="https://property-task-masters.lovable.app/turnover-services" TargetMode="External"/><Relationship Id="rId298" Type="http://schemas.openxmlformats.org/officeDocument/2006/relationships/hyperlink" Target="https://www.homedepot.com/services/c/door-hardware-installation/7d3f00689" TargetMode="External"/><Relationship Id="rId299" Type="http://schemas.openxmlformats.org/officeDocument/2006/relationships/hyperlink" Target="https://www.enrichlabs.ai/blog/handyman-marketing-complete-guide-2026" TargetMode="External"/><Relationship Id="rId300" Type="http://schemas.openxmlformats.org/officeDocument/2006/relationships/hyperlink" Target="https://www.taskrabbit.com/locations/denver/home-improvement" TargetMode="External"/><Relationship Id="rId301" Type="http://schemas.openxmlformats.org/officeDocument/2006/relationships/hyperlink" Target="https://www.angi.com/articles/home-repair-services-handyman-will-do.htm" TargetMode="External"/><Relationship Id="rId302" Type="http://schemas.openxmlformats.org/officeDocument/2006/relationships/hyperlink" Target="https://www.dailymotion.com/video/x87d0sd" TargetMode="External"/><Relationship Id="rId303" Type="http://schemas.openxmlformats.org/officeDocument/2006/relationships/hyperlink" Target="https://www.bobvila.com/slideshow/50-things-every-homeowner-should-know-how-to-do-46782/" TargetMode="External"/><Relationship Id="rId304" Type="http://schemas.openxmlformats.org/officeDocument/2006/relationships/hyperlink" Target="https://www.lowes.com/n/how-to/diy-projects-new-homeowners" TargetMode="External"/><Relationship Id="rId305" Type="http://schemas.openxmlformats.org/officeDocument/2006/relationships/hyperlink" Target="https://hexapm.com/apartment-maintenance-requests/" TargetMode="External"/><Relationship Id="rId306" Type="http://schemas.openxmlformats.org/officeDocument/2006/relationships/hyperlink" Target="https://rentredi.com/blog/property-maintenance" TargetMode="External"/><Relationship Id="rId307" Type="http://schemas.openxmlformats.org/officeDocument/2006/relationships/hyperlink" Target="https://www.berkeleyparentsnetwork.org/node/417311" TargetMode="External"/><Relationship Id="rId308" Type="http://schemas.openxmlformats.org/officeDocument/2006/relationships/hyperlink" Target="https://www.housedoctors.com/austin-tx/blog/categories/handyman-services/preparing-your-home-for-austins-brutal-summer/" TargetMode="External"/><Relationship Id="rId309" Type="http://schemas.openxmlformats.org/officeDocument/2006/relationships/hyperlink" Target="https://www.angi.com/articles/cost-install-smart-doorbell.htm" TargetMode="External"/><Relationship Id="rId310" Type="http://schemas.openxmlformats.org/officeDocument/2006/relationships/hyperlink" Target="https://www.angi.com/articles/doorbell-installation-cost.htm" TargetMode="External"/><Relationship Id="rId311" Type="http://schemas.openxmlformats.org/officeDocument/2006/relationships/hyperlink" Target="https://www.housecallpro.com/resources/working-in-the-trades/handyman-list-ideas/" TargetMode="External"/><Relationship Id="rId312" Type="http://schemas.openxmlformats.org/officeDocument/2006/relationships/hyperlink" Target="https://www.bestbuy.com/site/video-doorbell-install/5732321.p?skuId=5732321" TargetMode="External"/><Relationship Id="rId313" Type="http://schemas.openxmlformats.org/officeDocument/2006/relationships/hyperlink" Target="https://www.homedepot.com/services/h/smart-home-installation" TargetMode="External"/><Relationship Id="rId314" Type="http://schemas.openxmlformats.org/officeDocument/2006/relationships/hyperlink" Target="https://www.bobvila.com/articles/doorbell-installation-cost.md" TargetMode="External"/><Relationship Id="rId315" Type="http://schemas.openxmlformats.org/officeDocument/2006/relationships/hyperlink" Target="https://pocketsuite.io/book/mister-ios-llc/items/smart-devices" TargetMode="External"/><Relationship Id="rId316" Type="http://schemas.openxmlformats.org/officeDocument/2006/relationships/hyperlink" Target="https://www.homeadvisor.com/tloc/Bordentown-NJ/Doorbell-Security-Camera-Installation-Install-or-Repair-Electrical-Switches-and-Outlets" TargetMode="External"/><Relationship Id="rId317" Type="http://schemas.openxmlformats.org/officeDocument/2006/relationships/hyperlink" Target="https://qa4-www.canadiantire.ca/en/home-services/smart-home.html" TargetMode="External"/><Relationship Id="rId318" Type="http://schemas.openxmlformats.org/officeDocument/2006/relationships/hyperlink" Target="https://www.parksassociates.com/blogs/in-the-news/video-doorbell-adoption-rises-to-20-in-us?page=8" TargetMode="External"/><Relationship Id="rId319" Type="http://schemas.openxmlformats.org/officeDocument/2006/relationships/hyperlink" Target="https://www.consumerreports.org/smart-home/smart-home-tech-upgrades-to-help-sell-your-house/" TargetMode="External"/><Relationship Id="rId320" Type="http://schemas.openxmlformats.org/officeDocument/2006/relationships/hyperlink" Target="https://talkofthevillages.com/forums/villages-florida-general-discussion-73/ecobee-smart-thermostat-yale-smart-door-lock-ring-doorbell-help-342069" TargetMode="External"/><Relationship Id="rId321" Type="http://schemas.openxmlformats.org/officeDocument/2006/relationships/hyperlink" Target="https://intercom.help/jiffy/en/articles/2203108-smart-home-install" TargetMode="External"/><Relationship Id="rId322" Type="http://schemas.openxmlformats.org/officeDocument/2006/relationships/hyperlink" Target="https://hookagency.com/blog/most-searched-home-services/" TargetMode="External"/><Relationship Id="rId323" Type="http://schemas.openxmlformats.org/officeDocument/2006/relationships/hyperlink" Target="https://www.angi.com/articles/how-much-does-drain-cleaning-cost.htm" TargetMode="External"/><Relationship Id="rId324" Type="http://schemas.openxmlformats.org/officeDocument/2006/relationships/hyperlink" Target="https://www.homeserve.com/media/biannual-state-of-the-home-survey-spring-2020" TargetMode="External"/><Relationship Id="rId325" Type="http://schemas.openxmlformats.org/officeDocument/2006/relationships/hyperlink" Target="https://www.familyhandyman.com/list/most-popular-home-repairs-for-new-homeowners/" TargetMode="External"/><Relationship Id="rId326" Type="http://schemas.openxmlformats.org/officeDocument/2006/relationships/hyperlink" Target="https://lowes.com/n/how-to/household-drain-problems" TargetMode="External"/><Relationship Id="rId327" Type="http://schemas.openxmlformats.org/officeDocument/2006/relationships/hyperlink" Target="https://www.hemlane.com/resources/rental-property-maintenance-requests/" TargetMode="External"/><Relationship Id="rId328" Type="http://schemas.openxmlformats.org/officeDocument/2006/relationships/hyperlink" Target="https://www.baymgmtgroup.com/blog/rental-property-repair-costs/" TargetMode="External"/><Relationship Id="rId329" Type="http://schemas.openxmlformats.org/officeDocument/2006/relationships/hyperlink" Target="https://webcf.waybackmachine.org/web/20220415173606/https://www.angi.com/nearme/plumbers" TargetMode="External"/><Relationship Id="rId330" Type="http://schemas.openxmlformats.org/officeDocument/2006/relationships/hyperlink" Target="https://www.thumbtack.com/p/plumbers-cost" TargetMode="External"/><Relationship Id="rId331" Type="http://schemas.openxmlformats.org/officeDocument/2006/relationships/hyperlink" Target="https://themortgagereports.com/57788/how-home-maintenance-savvy-are-you-study-shows-most-americans-need-serious-help" TargetMode="External"/><Relationship Id="rId332" Type="http://schemas.openxmlformats.org/officeDocument/2006/relationships/hyperlink" Target="https://emulent.com/resources/plumbing-seo-keywords-that-increase-service-calls" TargetMode="External"/><Relationship Id="rId333" Type="http://schemas.openxmlformats.org/officeDocument/2006/relationships/hyperlink" Target="https://www.taskrabbit.com/services/mounting" TargetMode="External"/><Relationship Id="rId334" Type="http://schemas.openxmlformats.org/officeDocument/2006/relationships/hyperlink" Target="https://www.handy.com/services/hanging-pictures-shelves" TargetMode="External"/><Relationship Id="rId335" Type="http://schemas.openxmlformats.org/officeDocument/2006/relationships/hyperlink" Target="https://www.thumbtack.com/k/picture-hanging/near-me" TargetMode="External"/><Relationship Id="rId336" Type="http://schemas.openxmlformats.org/officeDocument/2006/relationships/hyperlink" Target="https://www.bobvila.com/articles/what-does-a-handyman-do.md" TargetMode="External"/><Relationship Id="rId337" Type="http://schemas.openxmlformats.org/officeDocument/2006/relationships/hyperlink" Target="https://www.instaservice.com/blog/?p=38331" TargetMode="External"/><Relationship Id="rId338" Type="http://schemas.openxmlformats.org/officeDocument/2006/relationships/hyperlink" Target="https://www.diyweek.net/the-nations-most-googled-diy-questions" TargetMode="External"/><Relationship Id="rId339" Type="http://schemas.openxmlformats.org/officeDocument/2006/relationships/hyperlink" Target="https://orders.handy.com/services/hanging-pictures-shelves" TargetMode="External"/><Relationship Id="rId340" Type="http://schemas.openxmlformats.org/officeDocument/2006/relationships/hyperlink" Target="https://support.taskrabbit.com/hc/en-us/articles/360052736472-Which-Task-Categories-Should-I-Add-To-My-Profile" TargetMode="External"/><Relationship Id="rId341" Type="http://schemas.openxmlformats.org/officeDocument/2006/relationships/hyperlink" Target="https://www.taskrabbit.com/" TargetMode="External"/><Relationship Id="rId342" Type="http://schemas.openxmlformats.org/officeDocument/2006/relationships/hyperlink" Target="https://next-www.thumbtack.com/ga/cumming/picture-hanging/sedgwick/service/408578192316022788" TargetMode="External"/><Relationship Id="rId343" Type="http://schemas.openxmlformats.org/officeDocument/2006/relationships/hyperlink" Target="https://www.thumbtack.com/tx/frisco/picture-hanging" TargetMode="External"/><Relationship Id="rId344" Type="http://schemas.openxmlformats.org/officeDocument/2006/relationships/hyperlink" Target="https://www.thumbtack.com/p/blind-installation-cost" TargetMode="External"/><Relationship Id="rId345" Type="http://schemas.openxmlformats.org/officeDocument/2006/relationships/hyperlink" Target="https://www.angi.com/articles/how-much-does-it-cost-install-blinds-or-shades/tx/dallas" TargetMode="External"/><Relationship Id="rId346" Type="http://schemas.openxmlformats.org/officeDocument/2006/relationships/hyperlink" Target="https://www.taskrabbit.com/locations/austin/blinds-installation" TargetMode="External"/><Relationship Id="rId347" Type="http://schemas.openxmlformats.org/officeDocument/2006/relationships/hyperlink" Target="https://www.bobvila.com/articles/hiring-a-handyman-near-me.md" TargetMode="External"/><Relationship Id="rId348" Type="http://schemas.openxmlformats.org/officeDocument/2006/relationships/hyperlink" Target="https://getjobber.com/academy/handyman/handyman-services-list/" TargetMode="External"/><Relationship Id="rId349" Type="http://schemas.openxmlformats.org/officeDocument/2006/relationships/hyperlink" Target="https://www.avail.com/education/articles/wear-and-tear-what-is-fair" TargetMode="External"/><Relationship Id="rId350" Type="http://schemas.openxmlformats.org/officeDocument/2006/relationships/hyperlink" Target="https://www.homedepot.com/services/" TargetMode="External"/><Relationship Id="rId351" Type="http://schemas.openxmlformats.org/officeDocument/2006/relationships/hyperlink" Target="https://orders.handy.com/services/install-window-treatments" TargetMode="External"/><Relationship Id="rId352" Type="http://schemas.openxmlformats.org/officeDocument/2006/relationships/hyperlink" Target="https://www.taskrabbit.com/cost-guides/blinds-installation" TargetMode="External"/><Relationship Id="rId353" Type="http://schemas.openxmlformats.org/officeDocument/2006/relationships/hyperlink" Target="https://homeguide.com/costs/window-treatment-cost" TargetMode="External"/><Relationship Id="rId354" Type="http://schemas.openxmlformats.org/officeDocument/2006/relationships/hyperlink" Target="https://www.servicetitan.com/blog/handyman-services-list" TargetMode="External"/><Relationship Id="rId355" Type="http://schemas.openxmlformats.org/officeDocument/2006/relationships/hyperlink" Target="https://homesmsp.com/2012/04/top-5-home-warranty-claims.html" TargetMode="External"/><Relationship Id="rId356" Type="http://schemas.openxmlformats.org/officeDocument/2006/relationships/hyperlink" Target="https://rosieonthehouse.com/diy/how-can-i-counter-the-need-for-a-home-warranty/" TargetMode="External"/><Relationship Id="rId357" Type="http://schemas.openxmlformats.org/officeDocument/2006/relationships/hyperlink" Target="https://www.mapcon.com/blog/2025/06/top-maintenance-requests-and-how-to-handle-them" TargetMode="External"/><Relationship Id="rId358" Type="http://schemas.openxmlformats.org/officeDocument/2006/relationships/hyperlink" Target="https://www.bestbuy.com/site/dishwasher-installation/6254166.p?skuId=6254166" TargetMode="External"/><Relationship Id="rId359" Type="http://schemas.openxmlformats.org/officeDocument/2006/relationships/hyperlink" Target="https://www.lowes.com/l/install/appliances" TargetMode="External"/><Relationship Id="rId360" Type="http://schemas.openxmlformats.org/officeDocument/2006/relationships/hyperlink" Target="https://homeguide.com/costs/dishwasher-installation-cost" TargetMode="External"/><Relationship Id="rId361" Type="http://schemas.openxmlformats.org/officeDocument/2006/relationships/hyperlink" Target="https://www.homeadvisor.com/tloc/Valrico-FL/Dishwasher-Repair-or-Install/" TargetMode="External"/><Relationship Id="rId362" Type="http://schemas.openxmlformats.org/officeDocument/2006/relationships/hyperlink" Target="https://www.thumbtack.com/k/smart-lock-installation-and-repair/near-me" TargetMode="External"/><Relationship Id="rId363" Type="http://schemas.openxmlformats.org/officeDocument/2006/relationships/hyperlink" Target="https://www.thumbtack.com/p/locksmiths-prices" TargetMode="External"/><Relationship Id="rId364" Type="http://schemas.openxmlformats.org/officeDocument/2006/relationships/hyperlink" Target="https://getjobber.com/academy/handyman/handyman-services-list/" TargetMode="External"/><Relationship Id="rId365" Type="http://schemas.openxmlformats.org/officeDocument/2006/relationships/hyperlink" Target="https://www.bestbuy.com/site/smart-door-lock-installation/5577861.p?skuId=5577861" TargetMode="External"/><Relationship Id="rId366" Type="http://schemas.openxmlformats.org/officeDocument/2006/relationships/hyperlink" Target="https://www.homedepot.com/services/h/smart-home-installation" TargetMode="External"/><Relationship Id="rId367" Type="http://schemas.openxmlformats.org/officeDocument/2006/relationships/hyperlink" Target="https://www.freedoniagroup.com/smart-home-security.html" TargetMode="External"/><Relationship Id="rId368" Type="http://schemas.openxmlformats.org/officeDocument/2006/relationships/hyperlink" Target="https://www.consumerreports.org/smart-home/smart-home-tech-upgrades-to-help-sell-your-house/" TargetMode="External"/><Relationship Id="rId369" Type="http://schemas.openxmlformats.org/officeDocument/2006/relationships/hyperlink" Target="https://talkofthevillages.com/forums/villages-florida-general-discussion-73/ecobee-smart-thermostat-yale-smart-door-lock-ring-doorbell-help-342069" TargetMode="External"/><Relationship Id="rId370" Type="http://schemas.openxmlformats.org/officeDocument/2006/relationships/hyperlink" Target="https://intercom.help/jiffy/en/articles/2203108-smart-home-install" TargetMode="External"/><Relationship Id="rId371" Type="http://schemas.openxmlformats.org/officeDocument/2006/relationships/hyperlink" Target="https://hookagency.com/blog/most-searched-home-services/" TargetMode="External"/><Relationship Id="rId372" Type="http://schemas.openxmlformats.org/officeDocument/2006/relationships/hyperlink" Target="https://www.angi.com/articles/home-repair-services-handyman-will-do.htm" TargetMode="External"/><Relationship Id="rId373" Type="http://schemas.openxmlformats.org/officeDocument/2006/relationships/hyperlink" Target="https://www.dailymotion.com/video/x87d0sd" TargetMode="External"/><Relationship Id="rId374" Type="http://schemas.openxmlformats.org/officeDocument/2006/relationships/hyperlink" Target="https://www.repairpricer.com/common-repairs-needed-after-home-inspection/" TargetMode="External"/><Relationship Id="rId375" Type="http://schemas.openxmlformats.org/officeDocument/2006/relationships/hyperlink" Target="https://www.diyweek.net/the-nations-most-googled-diy-questions" TargetMode="External"/><Relationship Id="rId376" Type="http://schemas.openxmlformats.org/officeDocument/2006/relationships/hyperlink" Target="https://www.multifamilyinsiders.com/apartment-ideas/apartment-maintenance/10457-most-common-service-requests" TargetMode="External"/><Relationship Id="rId377" Type="http://schemas.openxmlformats.org/officeDocument/2006/relationships/hyperlink" Target="https://hexapm.com/apartment-maintenance-requests/" TargetMode="External"/><Relationship Id="rId378" Type="http://schemas.openxmlformats.org/officeDocument/2006/relationships/hyperlink" Target="https://rentredi.com/blog/property-maintenance" TargetMode="External"/><Relationship Id="rId379" Type="http://schemas.openxmlformats.org/officeDocument/2006/relationships/hyperlink" Target="https://ifamagazine.com/diy-britain-10-home-repairs-brits-struggle-with-most-from-clogged-toilets-to-changing-bulbs-2/" TargetMode="External"/><Relationship Id="rId380" Type="http://schemas.openxmlformats.org/officeDocument/2006/relationships/hyperlink" Target="https://www.angi.com/articles/how-much-does-drain-cleaning-cost.htm" TargetMode="External"/><Relationship Id="rId381" Type="http://schemas.openxmlformats.org/officeDocument/2006/relationships/hyperlink" Target="https://www.bobvila.com/diy/quick-repair/" TargetMode="External"/><Relationship Id="rId382" Type="http://schemas.openxmlformats.org/officeDocument/2006/relationships/hyperlink" Target="https://lowes.com/n/how-to/household-drain-problems" TargetMode="External"/><Relationship Id="rId383" Type="http://schemas.openxmlformats.org/officeDocument/2006/relationships/hyperlink" Target="https://www.multifamilyinsiders.com/apartment-ideas/apartment-maintenance/10457-most-common-service-requests" TargetMode="External"/><Relationship Id="rId384" Type="http://schemas.openxmlformats.org/officeDocument/2006/relationships/hyperlink" Target="https://www.baymgmtgroup.com/blog/rental-property-repair-costs/" TargetMode="External"/><Relationship Id="rId385" Type="http://schemas.openxmlformats.org/officeDocument/2006/relationships/hyperlink" Target="https://webcf.waybackmachine.org/web/20220415173606/https://www.angi.com/nearme/plumbers" TargetMode="External"/><Relationship Id="rId386" Type="http://schemas.openxmlformats.org/officeDocument/2006/relationships/hyperlink" Target="https://www.thumbtack.com/p/plumbers-cost" TargetMode="External"/><Relationship Id="rId387" Type="http://schemas.openxmlformats.org/officeDocument/2006/relationships/hyperlink" Target="https://themortgagereports.com/57788/how-home-maintenance-savvy-are-you-study-shows-most-americans-need-serious-help" TargetMode="External"/><Relationship Id="rId388" Type="http://schemas.openxmlformats.org/officeDocument/2006/relationships/hyperlink" Target="https://emulent.com/resources/plumbing-seo-keywords-that-increase-service-calls" TargetMode="External"/><Relationship Id="rId389" Type="http://schemas.openxmlformats.org/officeDocument/2006/relationships/hyperlink" Target="https://www.thumbtack.com/p/window-screen-replacement-cost" TargetMode="External"/><Relationship Id="rId390" Type="http://schemas.openxmlformats.org/officeDocument/2006/relationships/hyperlink" Target="https://academy.getjobber.com/handyman-services-list/" TargetMode="External"/><Relationship Id="rId391" Type="http://schemas.openxmlformats.org/officeDocument/2006/relationships/hyperlink" Target="https://www.familyhandyman.com/list/15-diy-repairs-you-may-not-know-you-can-make-yourself/" TargetMode="External"/><Relationship Id="rId392" Type="http://schemas.openxmlformats.org/officeDocument/2006/relationships/hyperlink" Target="https://www.familyhandyman.com/list/home-improvements-you-should-never-pay-for/" TargetMode="External"/><Relationship Id="rId393" Type="http://schemas.openxmlformats.org/officeDocument/2006/relationships/hyperlink" Target="https://www.baymgmtgroup.com/blog/rental-property-repair-costs/" TargetMode="External"/><Relationship Id="rId394" Type="http://schemas.openxmlformats.org/officeDocument/2006/relationships/hyperlink" Target="https://www.avail.com/education/articles/wear-and-tear-what-is-fair" TargetMode="External"/><Relationship Id="rId395" Type="http://schemas.openxmlformats.org/officeDocument/2006/relationships/hyperlink" Target="https://www.angi.com/companylist/us/fl/lighthouse-point/window-screen-repair.htm" TargetMode="External"/><Relationship Id="rId396" Type="http://schemas.openxmlformats.org/officeDocument/2006/relationships/hyperlink" Target="https://www.angi.com/articles/how-much-does-it-cost-install-home-security-system.htm" TargetMode="External"/><Relationship Id="rId397" Type="http://schemas.openxmlformats.org/officeDocument/2006/relationships/hyperlink" Target="https://www.thumbtack.com/p/home-security-system-cost" TargetMode="External"/><Relationship Id="rId398" Type="http://schemas.openxmlformats.org/officeDocument/2006/relationships/hyperlink" Target="https://getjobber.com/academy/handyman/handyman-services-list/" TargetMode="External"/><Relationship Id="rId399" Type="http://schemas.openxmlformats.org/officeDocument/2006/relationships/hyperlink" Target="https://lowes.com/store/2833-show-low-az/smart-home-installation" TargetMode="External"/><Relationship Id="rId400" Type="http://schemas.openxmlformats.org/officeDocument/2006/relationships/hyperlink" Target="https://pocketsuite.io/book/mister-ios-llc/items/smart-devices" TargetMode="External"/><Relationship Id="rId401" Type="http://schemas.openxmlformats.org/officeDocument/2006/relationships/hyperlink" Target="https://www.homeadvisor.com/tloc/Bordentown-NJ/Doorbell-Security-Camera-Installation-Install-or-Repair-Electrical-Switches-and-Outlets" TargetMode="External"/><Relationship Id="rId402" Type="http://schemas.openxmlformats.org/officeDocument/2006/relationships/hyperlink" Target="https://hookagency.com/blog/most-searched-home-services/" TargetMode="External"/><Relationship Id="rId403" Type="http://schemas.openxmlformats.org/officeDocument/2006/relationships/hyperlink" Target="https://www.thumbtack.com/p/window-repair-cost" TargetMode="External"/><Relationship Id="rId404" Type="http://schemas.openxmlformats.org/officeDocument/2006/relationships/hyperlink" Target="https://www.redfin.com/blog/new-construction-home-inspections-are-they-really-necessary/" TargetMode="External"/><Relationship Id="rId405" Type="http://schemas.openxmlformats.org/officeDocument/2006/relationships/hyperlink" Target="https://www.har.com/web/jacoblopez/blogs/146556" TargetMode="External"/><Relationship Id="rId406" Type="http://schemas.openxmlformats.org/officeDocument/2006/relationships/hyperlink" Target="https://oxmaint.com/blog/post/property-maintenance-requests-15-most-common-issues-and-prevention-tips" TargetMode="External"/><Relationship Id="rId407" Type="http://schemas.openxmlformats.org/officeDocument/2006/relationships/hyperlink" Target="https://hexapm.com/apartment-maintenance-requests/" TargetMode="External"/><Relationship Id="rId408" Type="http://schemas.openxmlformats.org/officeDocument/2006/relationships/hyperlink" Target="https://www.homeadvisor.com/cost/doors-and-windows/weatherstripping-replacement-cost" TargetMode="External"/><Relationship Id="rId409" Type="http://schemas.openxmlformats.org/officeDocument/2006/relationships/hyperlink" Target="https://www.housedoctors.com/austin-tx/blog/categories/handyman-services/preparing-your-home-for-austins-brutal-summer/" TargetMode="External"/><Relationship Id="rId410" Type="http://schemas.openxmlformats.org/officeDocument/2006/relationships/hyperlink" Target="https://www.angi.com/articles/hire-handyman-complete-your-honey-do-list.htm" TargetMode="External"/><Relationship Id="rId411" Type="http://schemas.openxmlformats.org/officeDocument/2006/relationships/hyperlink" Target="https://www.dailymotion.com/video/x87d0sd" TargetMode="External"/><Relationship Id="rId412" Type="http://schemas.openxmlformats.org/officeDocument/2006/relationships/hyperlink" Target="https://www.bobvila.com/diy/diy-home-repairs/" TargetMode="External"/><Relationship Id="rId413" Type="http://schemas.openxmlformats.org/officeDocument/2006/relationships/hyperlink" Target="https://propertese.com/blog/property-management-maintenance-checklist-complete-guide-for-2026/" TargetMode="External"/><Relationship Id="rId414" Type="http://schemas.openxmlformats.org/officeDocument/2006/relationships/hyperlink" Target="https://www.berkeleyparentsnetwork.org/node/417311" TargetMode="External"/><Relationship Id="rId415" Type="http://schemas.openxmlformats.org/officeDocument/2006/relationships/hyperlink" Target="https://www.fairfaxcounty.gov/familyservices/older-adults/golden-gazette/2024-04-rebuilding-together-aff-neighbors-helping-neighbors-live-in-homes-that-are-safe-and-healthy" TargetMode="External"/><Relationship Id="rId416" Type="http://schemas.openxmlformats.org/officeDocument/2006/relationships/hyperlink" Target="https://www.angi.com/articles/smoke-detector-installation-cost.htm" TargetMode="External"/><Relationship Id="rId417" Type="http://schemas.openxmlformats.org/officeDocument/2006/relationships/hyperlink" Target="https://www.repairpricer.com/common-repairs-needed-after-home-inspection/" TargetMode="External"/><Relationship Id="rId418" Type="http://schemas.openxmlformats.org/officeDocument/2006/relationships/hyperlink" Target="https://www.prnewswire.com/news-releases/repair-pricer-inspection-report-reveals-over-a-million-repairs-needed-for-homes-across-the-us-301308868.html" TargetMode="External"/><Relationship Id="rId419" Type="http://schemas.openxmlformats.org/officeDocument/2006/relationships/hyperlink" Target="https://www.lowes.com/n/how-to/diy-projects-new-homeowners" TargetMode="External"/><Relationship Id="rId420" Type="http://schemas.openxmlformats.org/officeDocument/2006/relationships/hyperlink" Target="https://ipropertymanagement.com/guides/rental-property-maintenance" TargetMode="External"/><Relationship Id="rId421" Type="http://schemas.openxmlformats.org/officeDocument/2006/relationships/hyperlink" Target="https://search.nj211.org/search/b37dfd19-7aee-5424-a63c-2542f8845c55" TargetMode="External"/><Relationship Id="rId422" Type="http://schemas.openxmlformats.org/officeDocument/2006/relationships/hyperlink" Target="https://www.taskrabbit.com/blog/10-common-handyman-tasks-you-can-outsource-instead-of-trying-to-diy/" TargetMode="External"/><Relationship Id="rId423" Type="http://schemas.openxmlformats.org/officeDocument/2006/relationships/hyperlink" Target="https://www.housecallpro.com/resources/handyman-contract-template-sample/" TargetMode="External"/><Relationship Id="rId424" Type="http://schemas.openxmlformats.org/officeDocument/2006/relationships/hyperlink" Target="https://www.repairpricer.com/common-repairs-needed-after-home-inspection/" TargetMode="External"/><Relationship Id="rId425" Type="http://schemas.openxmlformats.org/officeDocument/2006/relationships/hyperlink" Target="https://www.prnewswire.com/news-releases/repair-pricer-inspection-report-reveals-over-a-million-repairs-needed-for-homes-across-the-us-301308868.html" TargetMode="External"/><Relationship Id="rId426" Type="http://schemas.openxmlformats.org/officeDocument/2006/relationships/hyperlink" Target="https://www.har.com/web/jacoblopez/blogs/146556" TargetMode="External"/><Relationship Id="rId427" Type="http://schemas.openxmlformats.org/officeDocument/2006/relationships/hyperlink" Target="https://handymanconnection.com/kelowna/" TargetMode="External"/><Relationship Id="rId428" Type="http://schemas.openxmlformats.org/officeDocument/2006/relationships/hyperlink" Target="https://www.housedoctors.com/austin-tx/blog/categories/handyman-services/preparing-your-home-for-austins-brutal-summer/" TargetMode="External"/><Relationship Id="rId429" Type="http://schemas.openxmlformats.org/officeDocument/2006/relationships/hyperlink" Target="https://www.mrhandyman.com/plano/about-us/ask-a-pro/summer-home-prep-repairs-plano/" TargetMode="External"/><Relationship Id="rId430" Type="http://schemas.openxmlformats.org/officeDocument/2006/relationships/hyperlink" Target="https://www.taskrabbit.com/blog/10-common-handyman-tasks-you-can-outsource-instead-of-trying-to-diy/" TargetMode="External"/><Relationship Id="rId431" Type="http://schemas.openxmlformats.org/officeDocument/2006/relationships/hyperlink" Target="https://www.taskrabbit.com/locations/austin/blinds-installation" TargetMode="External"/><Relationship Id="rId432" Type="http://schemas.openxmlformats.org/officeDocument/2006/relationships/hyperlink" Target="https://www.airtasker.com/us/costs/handyman/handyman-prices/" TargetMode="External"/><Relationship Id="rId433" Type="http://schemas.openxmlformats.org/officeDocument/2006/relationships/hyperlink" Target="https://www.lowes.com/n/ideas-inspiration/home-improvement-without-tools" TargetMode="External"/><Relationship Id="rId434" Type="http://schemas.openxmlformats.org/officeDocument/2006/relationships/hyperlink" Target="https://orders.handy.com/services/install-window-treatments" TargetMode="External"/><Relationship Id="rId435" Type="http://schemas.openxmlformats.org/officeDocument/2006/relationships/hyperlink" Target="https://www.thumbtack.com/tx/frisco/picture-hanging" TargetMode="External"/><Relationship Id="rId436" Type="http://schemas.openxmlformats.org/officeDocument/2006/relationships/hyperlink" Target="https://www.airtasker.com/us/handyman/curtain-blinds-fitters/price/curtain-and-blind-installation-cost" TargetMode="External"/><Relationship Id="rId437" Type="http://schemas.openxmlformats.org/officeDocument/2006/relationships/hyperlink" Target="https://next-www.thumbtack.com/ga/cumming/picture-hanging/sedgwick/service/408578192316022788" TargetMode="External"/><Relationship Id="rId438" Type="http://schemas.openxmlformats.org/officeDocument/2006/relationships/hyperlink" Target="https://www.taskrabbit.com/locations/fort-worth/shelf-mounting" TargetMode="External"/><Relationship Id="rId439" Type="http://schemas.openxmlformats.org/officeDocument/2006/relationships/hyperlink" Target="https://www.repairpricer.com/common-repairs-needed-after-home-inspection/" TargetMode="External"/><Relationship Id="rId440" Type="http://schemas.openxmlformats.org/officeDocument/2006/relationships/hyperlink" Target="https://www.parealtors.org/blog/what-are-the-most-common-repairs-that-show-up-in-home-inspections/" TargetMode="External"/><Relationship Id="rId441" Type="http://schemas.openxmlformats.org/officeDocument/2006/relationships/hyperlink" Target="https://www.harbertgroup.com/blog/943/Houston+Home+Inspection+Checklist+2026%3A+What+Sellers+Should+Fix+First" TargetMode="External"/><Relationship Id="rId442" Type="http://schemas.openxmlformats.org/officeDocument/2006/relationships/hyperlink" Target="https://www.thisoldhouse.com/21017718/35-super-fast-fixes-and-easy-upgrades" TargetMode="External"/><Relationship Id="rId443" Type="http://schemas.openxmlformats.org/officeDocument/2006/relationships/hyperlink" Target="https://lula.life/articles/rental-property-maintenance-management" TargetMode="External"/><Relationship Id="rId444" Type="http://schemas.openxmlformats.org/officeDocument/2006/relationships/hyperlink" Target="https://oxmaint.com/blog/post/property-maintenance-requests-15-most-common-issues-and-prevention-tips" TargetMode="External"/><Relationship Id="rId445" Type="http://schemas.openxmlformats.org/officeDocument/2006/relationships/hyperlink" Target="https://www.homeadvisor.com/cost/electrical/gfci-outlet-cost/" TargetMode="External"/><Relationship Id="rId446" Type="http://schemas.openxmlformats.org/officeDocument/2006/relationships/hyperlink" Target="https://homeguide.com/costs/gfci-outlet-cost" TargetMode="External"/><Relationship Id="rId447" Type="http://schemas.openxmlformats.org/officeDocument/2006/relationships/hyperlink" Target="https://homeguide.com/costs/electrical-outlet-repair-cost" TargetMode="External"/><Relationship Id="rId448" Type="http://schemas.openxmlformats.org/officeDocument/2006/relationships/hyperlink" Target="https://www.angi.com/articles/electrical-outlet-repair-cost.htm" TargetMode="External"/><Relationship Id="rId449" Type="http://schemas.openxmlformats.org/officeDocument/2006/relationships/hyperlink" Target="https://getjobber.com/academy/handyman/handyman-services-list/" TargetMode="External"/><Relationship Id="rId450" Type="http://schemas.openxmlformats.org/officeDocument/2006/relationships/hyperlink" Target="https://smb.oxfordeagle.com/article/Home-Repair-Expert-Bryan-Harmon-Explains-the-Most-Common-Handyman-Tasks-in-HelloNation/6a08955bd6b3ec3c381af7f9" TargetMode="External"/><Relationship Id="rId451" Type="http://schemas.openxmlformats.org/officeDocument/2006/relationships/hyperlink" Target="https://handymanconnection.com/parker/services/handyman-carpentry/" TargetMode="External"/><Relationship Id="rId452" Type="http://schemas.openxmlformats.org/officeDocument/2006/relationships/hyperlink" Target="https://wealthnorth.ca/mortgages/property-types/home-maintenance-checklist-by-season/" TargetMode="External"/><Relationship Id="rId453" Type="http://schemas.openxmlformats.org/officeDocument/2006/relationships/hyperlink" Target="https://mrhandyman.com/cinco-ranch-south-katy-west-houston/handyman-services/exterior/fence-repair" TargetMode="External"/><Relationship Id="rId454" Type="http://schemas.openxmlformats.org/officeDocument/2006/relationships/hyperlink" Target="https://www.thisoldhouse.com/?p=67853" TargetMode="External"/><Relationship Id="rId455" Type="http://schemas.openxmlformats.org/officeDocument/2006/relationships/hyperlink" Target="https://www.mrhandyman.com/plano/about-us/ask-a-pro/summer-home-prep-repairs-plano/" TargetMode="External"/><Relationship Id="rId456" Type="http://schemas.openxmlformats.org/officeDocument/2006/relationships/hyperlink" Target="https://www.thumbtack.com/tx/houston/gate-repair" TargetMode="External"/><Relationship Id="rId457" Type="http://schemas.openxmlformats.org/officeDocument/2006/relationships/hyperlink" Target="https://toprailfences.com/?p=5285" TargetMode="External"/><Relationship Id="rId458" Type="http://schemas.openxmlformats.org/officeDocument/2006/relationships/hyperlink" Target="https://mrhandyman.com/cinco-ranch-south-katy-west-houston/handyman-services/exterior/fence-repair" TargetMode="External"/><Relationship Id="rId459" Type="http://schemas.openxmlformats.org/officeDocument/2006/relationships/hyperlink" Target="https://getjobber.com/academy/handyman/handyman-services-list/" TargetMode="External"/><Relationship Id="rId460" Type="http://schemas.openxmlformats.org/officeDocument/2006/relationships/hyperlink" Target="https://activerain.com/blogsview/5936195/nj-home-inspector--the-15-problems-i-find-during-almost-every-home-inspection" TargetMode="External"/><Relationship Id="rId461" Type="http://schemas.openxmlformats.org/officeDocument/2006/relationships/hyperlink" Target="https://www.nachi.org/ten-problems-hhenews.htm" TargetMode="External"/><Relationship Id="rId462" Type="http://schemas.openxmlformats.org/officeDocument/2006/relationships/hyperlink" Target="https://www.repairpricer.com/common-repairs-needed-after-home-inspection/" TargetMode="External"/><Relationship Id="rId463" Type="http://schemas.openxmlformats.org/officeDocument/2006/relationships/hyperlink" Target="https://www.aol.com/lifestyle/much-does-cost-prep-home-155640898.html" TargetMode="External"/><Relationship Id="rId464" Type="http://schemas.openxmlformats.org/officeDocument/2006/relationships/hyperlink" Target="https://www.thimble.com/blog/what-are-the-most-requested-handyman-services" TargetMode="External"/><Relationship Id="rId465" Type="http://schemas.openxmlformats.org/officeDocument/2006/relationships/hyperlink" Target="https://www.housedoctors.com/austin-tx/blog/categories/handyman-services/preparing-your-home-for-austins-brutal-summer/" TargetMode="External"/><Relationship Id="rId466" Type="http://schemas.openxmlformats.org/officeDocument/2006/relationships/hyperlink" Target="https://www.taskrabbit.com/locations/san-antonio/home-improvement" TargetMode="External"/><Relationship Id="rId467" Type="http://schemas.openxmlformats.org/officeDocument/2006/relationships/hyperlink" Target="https://www.taskrabbit.com/blog/2024-trend-report/" TargetMode="External"/><Relationship Id="rId468" Type="http://schemas.openxmlformats.org/officeDocument/2006/relationships/hyperlink" Target="https://www.angi.com/articles/how-much-does-home-automation-cost.htm" TargetMode="External"/><Relationship Id="rId469" Type="http://schemas.openxmlformats.org/officeDocument/2006/relationships/hyperlink" Target="https://www.housecallpro.com/resources/working-in-the-trades/handyman-list-ideas/" TargetMode="External"/><Relationship Id="rId470" Type="http://schemas.openxmlformats.org/officeDocument/2006/relationships/hyperlink" Target="https://webcf.waybackmachine.org/web/20221112055919/https://www.amazon.com/services" TargetMode="External"/><Relationship Id="rId471" Type="http://schemas.openxmlformats.org/officeDocument/2006/relationships/hyperlink" Target="https://www.bestbuy.com/site/smart-home-security-services/smart-home-setup-installation/pcmcat1553538789739.c?id=pcmcat1553538789739" TargetMode="External"/><Relationship Id="rId472" Type="http://schemas.openxmlformats.org/officeDocument/2006/relationships/hyperlink" Target="https://qa4-www.canadiantire.ca/en/home-services/smart-home.html" TargetMode="External"/><Relationship Id="rId473" Type="http://schemas.openxmlformats.org/officeDocument/2006/relationships/hyperlink" Target="https://www.ontechsmartservices.com/pages/installation-pricing" TargetMode="External"/><Relationship Id="rId474" Type="http://schemas.openxmlformats.org/officeDocument/2006/relationships/hyperlink" Target="https://www.redfin.com/blog/most-common-home-inspection-problems/" TargetMode="External"/><Relationship Id="rId475" Type="http://schemas.openxmlformats.org/officeDocument/2006/relationships/hyperlink" Target="https://www.searchenginejournal.com/google-reveals-popular-searches/213648/" TargetMode="External"/><Relationship Id="rId476" Type="http://schemas.openxmlformats.org/officeDocument/2006/relationships/hyperlink" Target="https://www.bobvila.com/diy/diy-home-repairs/" TargetMode="External"/><Relationship Id="rId477" Type="http://schemas.openxmlformats.org/officeDocument/2006/relationships/hyperlink" Target="https://www.familyhandyman.com/list/15-diy-repairs-you-may-not-know-you-can-make-yourself/" TargetMode="External"/><Relationship Id="rId478" Type="http://schemas.openxmlformats.org/officeDocument/2006/relationships/hyperlink" Target="https://www.avail.com/education/articles/most-reported-tenant-maintenance-issues" TargetMode="External"/><Relationship Id="rId479" Type="http://schemas.openxmlformats.org/officeDocument/2006/relationships/hyperlink" Target="https://masslandlords.net/need-a-good-handyman-give-us-your-feedback-on-our-handyperson-proposal/" TargetMode="External"/><Relationship Id="rId480" Type="http://schemas.openxmlformats.org/officeDocument/2006/relationships/hyperlink" Target="https://hdfoundationrepair.com/doors-windows-sticking-foundation-problems-dfw/" TargetMode="External"/><Relationship Id="rId481" Type="http://schemas.openxmlformats.org/officeDocument/2006/relationships/hyperlink" Target="https://insightdiy.co.uk/news/us-homeowners-most-likely-to-put-off-painting-over-other-diy-tasks/10838.htm" TargetMode="External"/><Relationship Id="rId482" Type="http://schemas.openxmlformats.org/officeDocument/2006/relationships/hyperlink" Target="https://themreport.com/?p=7821683" TargetMode="External"/><Relationship Id="rId483" Type="http://schemas.openxmlformats.org/officeDocument/2006/relationships/hyperlink" Target="https://www.bobvila.com/diy/diy-home-repairs/" TargetMode="External"/><Relationship Id="rId484" Type="http://schemas.openxmlformats.org/officeDocument/2006/relationships/hyperlink" Target="https://ipropertymanagement.com/guides/rental-property-maintenance" TargetMode="External"/><Relationship Id="rId485" Type="http://schemas.openxmlformats.org/officeDocument/2006/relationships/hyperlink" Target="https://www.thimble.com/blog/what-are-the-most-requested-handyman-services" TargetMode="External"/><Relationship Id="rId486" Type="http://schemas.openxmlformats.org/officeDocument/2006/relationships/hyperlink" Target="https://www.globenewswire.com/news-release/2025/01/28/3016441/0/en/Angi-Releases-2024-State-of-Home-Spending-Report.html" TargetMode="External"/><Relationship Id="rId487" Type="http://schemas.openxmlformats.org/officeDocument/2006/relationships/hyperlink" Target="https://www.taskrabbit.com/locations/san-antonio/home-improvement" TargetMode="External"/><Relationship Id="rId488" Type="http://schemas.openxmlformats.org/officeDocument/2006/relationships/hyperlink" Target="https://www.handy.com/services" TargetMode="External"/><Relationship Id="rId489" Type="http://schemas.openxmlformats.org/officeDocument/2006/relationships/hyperlink" Target="https://www.familyhandyman.com/list/home-improvements-you-should-never-pay-for/" TargetMode="External"/><Relationship Id="rId490" Type="http://schemas.openxmlformats.org/officeDocument/2006/relationships/hyperlink" Target="https://naahq.org/news/10-things-about-common-maintenance-work-orders" TargetMode="External"/><Relationship Id="rId491" Type="http://schemas.openxmlformats.org/officeDocument/2006/relationships/hyperlink" Target="https://www.homeadvisor.com/cost/bathrooms/install-a-bath-fan/" TargetMode="External"/><Relationship Id="rId492" Type="http://schemas.openxmlformats.org/officeDocument/2006/relationships/hyperlink" Target="https://homeguide.com/costs/cost-to-install-bathroom-exhaust-fan" TargetMode="External"/><Relationship Id="rId493" Type="http://schemas.openxmlformats.org/officeDocument/2006/relationships/hyperlink" Target="https://www.thumbtack.com/p/fan-installation-cost" TargetMode="External"/><Relationship Id="rId494" Type="http://schemas.openxmlformats.org/officeDocument/2006/relationships/hyperlink" Target="https://smb.oxfordeagle.com/article/Home-Repair-Expert-Bryan-Harmon-Explains-the-Most-Common-Handyman-Tasks-in-HelloNation/6a08955bd6b3ec3c381af7f9" TargetMode="External"/><Relationship Id="rId495" Type="http://schemas.openxmlformats.org/officeDocument/2006/relationships/hyperlink" Target="https://www.frontdoor.com/blog/lifestyle/diy-home-improvement-and-repair-jobs-we-most-need-help-with" TargetMode="External"/><Relationship Id="rId496" Type="http://schemas.openxmlformats.org/officeDocument/2006/relationships/hyperlink" Target="https://www.thisoldhouse.com/furniture/fast-fix-for-worn-drawers" TargetMode="External"/><Relationship Id="rId497" Type="http://schemas.openxmlformats.org/officeDocument/2006/relationships/hyperlink" Target="https://www.avail.com/education/articles/most-reported-tenant-maintenance-issues" TargetMode="External"/><Relationship Id="rId498" Type="http://schemas.openxmlformats.org/officeDocument/2006/relationships/hyperlink" Target="https://www.mapcon.com/blog/2025/06/top-maintenance-requests-and-how-to-handle-them" TargetMode="External"/><Relationship Id="rId499" Type="http://schemas.openxmlformats.org/officeDocument/2006/relationships/hyperlink" Target="https://www.handy.com/services/mount-tv" TargetMode="External"/><Relationship Id="rId500" Type="http://schemas.openxmlformats.org/officeDocument/2006/relationships/hyperlink" Target="https://www.bestbuy.com/site/add-on-specialized-tv-mounting/6462887.p?skuId=6462887" TargetMode="External"/><Relationship Id="rId501" Type="http://schemas.openxmlformats.org/officeDocument/2006/relationships/hyperlink" Target="https://www.thumbtack.com/pa/pittsburgh/wall-hanging-services" TargetMode="External"/><Relationship Id="rId502" Type="http://schemas.openxmlformats.org/officeDocument/2006/relationships/hyperlink" Target="https://www.thumbtack.com/tx/houston/wall-hanging-services" TargetMode="External"/><Relationship Id="rId503" Type="http://schemas.openxmlformats.org/officeDocument/2006/relationships/hyperlink" Target="https://www.thumbtack.com/tx/dallas/wall-hanging-services" TargetMode="External"/><Relationship Id="rId504" Type="http://schemas.openxmlformats.org/officeDocument/2006/relationships/hyperlink" Target="https://eyeonhousing.org/2023/05/remodeling-market-index-rmi-special-question-analysis-aging-in-place/" TargetMode="External"/><Relationship Id="rId505" Type="http://schemas.openxmlformats.org/officeDocument/2006/relationships/hyperlink" Target="https://www.fairfaxcounty.gov/familyservices/older-adults/golden-gazette/2024-04-rebuilding-together-aff-neighbors-helping-neighbors-live-in-homes-that-are-safe-and-healthy" TargetMode="External"/><Relationship Id="rId506" Type="http://schemas.openxmlformats.org/officeDocument/2006/relationships/hyperlink" Target="https://mn.gov/adresources/search/df6942e6-fa10-52cb-96de-a75ffc7212b3" TargetMode="External"/><Relationship Id="rId507" Type="http://schemas.openxmlformats.org/officeDocument/2006/relationships/hyperlink" Target="https://www.homewyse.com/services/cost_to_install_grab_bars.html" TargetMode="External"/><Relationship Id="rId508" Type="http://schemas.openxmlformats.org/officeDocument/2006/relationships/hyperlink" Target="https://homeguide.com/costs/grab-bar-installation-cost" TargetMode="External"/><Relationship Id="rId509" Type="http://schemas.openxmlformats.org/officeDocument/2006/relationships/hyperlink" Target="https://www.fixr.com/costs/grab-bars-installation" TargetMode="External"/><Relationship Id="rId510" Type="http://schemas.openxmlformats.org/officeDocument/2006/relationships/hyperlink" Target="https://consumeraffairs.com/homeowners/aging-in-place-home-modifications.html" TargetMode="External"/><Relationship Id="rId511" Type="http://schemas.openxmlformats.org/officeDocument/2006/relationships/hyperlink" Target="https://detroitmi.gov/sites/detroitmi.localhost/files/2025-09/Housing%20Accessibility%20Checklist%20%28Large%20Print%29.pdf" TargetMode="External"/><Relationship Id="rId512" Type="http://schemas.openxmlformats.org/officeDocument/2006/relationships/hyperlink" Target="https://www.lifeline.com/blog/how-to-install-grab-bars-in-no-time/" TargetMode="External"/><Relationship Id="rId513" Type="http://schemas.openxmlformats.org/officeDocument/2006/relationships/hyperlink" Target="https://grabbars.com/how-much-does-grab-bar-installation-cost/" TargetMode="External"/><Relationship Id="rId514" Type="http://schemas.openxmlformats.org/officeDocument/2006/relationships/hyperlink" Target="https://www.homeadvisor.com/tloc/Seagoville-TX/Garage-Door-Opener-Repair-or-Adjust" TargetMode="External"/><Relationship Id="rId515" Type="http://schemas.openxmlformats.org/officeDocument/2006/relationships/hyperlink" Target="https://www.hunker.com/13771688/how-to-fix-a-garage-door/" TargetMode="External"/><Relationship Id="rId516" Type="http://schemas.openxmlformats.org/officeDocument/2006/relationships/hyperlink" Target="https://www.libertyhomeguard.com/troubleshooting-your-garage-door-keypad" TargetMode="External"/><Relationship Id="rId517" Type="http://schemas.openxmlformats.org/officeDocument/2006/relationships/hyperlink" Target="https://homeguide.com/costs/garage-door-repair-cost" TargetMode="External"/><Relationship Id="rId518" Type="http://schemas.openxmlformats.org/officeDocument/2006/relationships/hyperlink" Target="https://www.fixr.com/costs/garage-door-repair" TargetMode="External"/><Relationship Id="rId519" Type="http://schemas.openxmlformats.org/officeDocument/2006/relationships/hyperlink" Target="https://www.angi.com/articles/most-common-garage-door-repair-costs/ny/new-york" TargetMode="External"/><Relationship Id="rId520" Type="http://schemas.openxmlformats.org/officeDocument/2006/relationships/hyperlink" Target="https://ahs.com/home-matters/repair-maintenance/how-to-troubleshoot-a-garage-door-keypad" TargetMode="External"/><Relationship Id="rId521" Type="http://schemas.openxmlformats.org/officeDocument/2006/relationships/hyperlink" Target="https://a1garage.com/garage-door-opener-problems-and-fixes/" TargetMode="External"/><Relationship Id="rId522" Type="http://schemas.openxmlformats.org/officeDocument/2006/relationships/hyperlink" Target="https://resident.com/home-and-living/2026/04/28/garage-door-not-opening-common-reasons-your-garage-door-opener-isnt-working" TargetMode="External"/><Relationship Id="rId523" Type="http://schemas.openxmlformats.org/officeDocument/2006/relationships/hyperlink" Target="https://marketkeep.com/seo-keywords-for-handyman-services/" TargetMode="External"/><Relationship Id="rId524" Type="http://schemas.openxmlformats.org/officeDocument/2006/relationships/hyperlink" Target="https://www.angi.com/articles/cost-replace-shower-head.htm" TargetMode="External"/><Relationship Id="rId525" Type="http://schemas.openxmlformats.org/officeDocument/2006/relationships/hyperlink" Target="https://www.angi.com/articles/hire-handyman-complete-your-honey-do-list.htm" TargetMode="External"/><Relationship Id="rId526" Type="http://schemas.openxmlformats.org/officeDocument/2006/relationships/hyperlink" Target="https://www.repairpricer.com/common-repairs-needed-after-home-inspection/" TargetMode="External"/><Relationship Id="rId527" Type="http://schemas.openxmlformats.org/officeDocument/2006/relationships/hyperlink" Target="https://www.familyhandyman.com/list/home-repairs-you-can-do-yourself/" TargetMode="External"/><Relationship Id="rId528" Type="http://schemas.openxmlformats.org/officeDocument/2006/relationships/hyperlink" Target="https://www.thisoldhouse.com/21017718/35-super-fast-fixes-and-easy-upgrades" TargetMode="External"/><Relationship Id="rId529" Type="http://schemas.openxmlformats.org/officeDocument/2006/relationships/hyperlink" Target="https://www.lowes.com/n/how-to/how-to-fix-shower-faucets" TargetMode="External"/><Relationship Id="rId530" Type="http://schemas.openxmlformats.org/officeDocument/2006/relationships/hyperlink" Target="https://invoicefly.com/academy/handyman-services/" TargetMode="External"/><Relationship Id="rId531" Type="http://schemas.openxmlformats.org/officeDocument/2006/relationships/hyperlink" Target="https://getjobber.com/academy/handyman/handyman-services-list/" TargetMode="External"/><Relationship Id="rId532" Type="http://schemas.openxmlformats.org/officeDocument/2006/relationships/hyperlink" Target="https://www.berkeleyparentsnetwork.org/node/417311" TargetMode="External"/><Relationship Id="rId533" Type="http://schemas.openxmlformats.org/officeDocument/2006/relationships/hyperlink" Target="https://origin-2.fixr.com/costs/childproofing" TargetMode="External"/><Relationship Id="rId534" Type="http://schemas.openxmlformats.org/officeDocument/2006/relationships/hyperlink" Target="https://webcf.waybackmachine.org/web/20231211070054/https://www.homeadvisor.com/cost/handyman" TargetMode="External"/><Relationship Id="rId535" Type="http://schemas.openxmlformats.org/officeDocument/2006/relationships/hyperlink" Target="https://www.moneygeek.com/insurance/homeowners/resources/childproofing-your-home/" TargetMode="External"/><Relationship Id="rId536" Type="http://schemas.openxmlformats.org/officeDocument/2006/relationships/hyperlink" Target="https://smb.oxfordeagle.com/article/Home-Repair-Expert-Bryan-Harmon-Explains-the-Most-Common-Handyman-Tasks-in-HelloNation/6a08955bd6b3ec3c381af7f9" TargetMode="External"/><Relationship Id="rId537" Type="http://schemas.openxmlformats.org/officeDocument/2006/relationships/hyperlink" Target="https://www.thimble.com/blog/what-are-the-most-requested-handyman-services" TargetMode="External"/><Relationship Id="rId538" Type="http://schemas.openxmlformats.org/officeDocument/2006/relationships/hyperlink" Target="https://www.familyhandyman.com/list/15-diy-repairs-you-may-not-know-you-can-make-yourself/" TargetMode="External"/><Relationship Id="rId539" Type="http://schemas.openxmlformats.org/officeDocument/2006/relationships/hyperlink" Target="https://www.familyhandyman.com/list/home-improvements-you-should-never-pay-for/" TargetMode="External"/><Relationship Id="rId540" Type="http://schemas.openxmlformats.org/officeDocument/2006/relationships/hyperlink" Target="https://www.thimble.com/blog/what-are-the-most-requested-handyman-services" TargetMode="External"/><Relationship Id="rId541" Type="http://schemas.openxmlformats.org/officeDocument/2006/relationships/hyperlink" Target="https://www.housecallpro.com/licensing/handyman/texas/" TargetMode="External"/><Relationship Id="rId542" Type="http://schemas.openxmlformats.org/officeDocument/2006/relationships/hyperlink" Target="https://www.repairpricer.com/common-repairs-needed-after-home-inspection/" TargetMode="External"/><Relationship Id="rId543" Type="http://schemas.openxmlformats.org/officeDocument/2006/relationships/hyperlink" Target="https://support.vanmetrehomes.com/why-am-i-seeing-settlement-cracks-or-nail-pops" TargetMode="External"/><Relationship Id="rId544" Type="http://schemas.openxmlformats.org/officeDocument/2006/relationships/hyperlink" Target="https://www.familyhandyman.com/list/most-popular-home-repairs-for-new-homeowners/" TargetMode="External"/><Relationship Id="rId545" Type="http://schemas.openxmlformats.org/officeDocument/2006/relationships/hyperlink" Target="https://www.thisoldhouse.com/walls/how-to-patch-drywall" TargetMode="External"/><Relationship Id="rId546" Type="http://schemas.openxmlformats.org/officeDocument/2006/relationships/hyperlink" Target="https://www.bobvila.com/diy/diy-home-repairs/" TargetMode="External"/><Relationship Id="rId547" Type="http://schemas.openxmlformats.org/officeDocument/2006/relationships/hyperlink" Target="https://www.housedoctors.com/austin-tx/blog/categories/handyman-services/why-austins-clay-soil-wrecks-foundations-and-wha/" TargetMode="External"/><Relationship Id="rId548" Type="http://schemas.openxmlformats.org/officeDocument/2006/relationships/hyperlink" Target="https://www.thimble.com/blog/what-are-the-most-requested-handyman-services" TargetMode="External"/><Relationship Id="rId549" Type="http://schemas.openxmlformats.org/officeDocument/2006/relationships/hyperlink" Target="https://getjobber.com/academy/handyman/handyman-services-list/" TargetMode="External"/><Relationship Id="rId550" Type="http://schemas.openxmlformats.org/officeDocument/2006/relationships/hyperlink" Target="https://www.familyhandyman.com/list/stop-hiring-out-for-these-home-repairs/" TargetMode="External"/><Relationship Id="rId551" Type="http://schemas.openxmlformats.org/officeDocument/2006/relationships/hyperlink" Target="https://www.taskrabbit.com/locations/san-antonio/home-improvement" TargetMode="External"/><Relationship Id="rId552" Type="http://schemas.openxmlformats.org/officeDocument/2006/relationships/hyperlink" Target="https://www.thimble.com/blog/what-are-the-most-requested-handyman-services" TargetMode="External"/><Relationship Id="rId553" Type="http://schemas.openxmlformats.org/officeDocument/2006/relationships/hyperlink" Target="https://www.familyhandyman.com/list/15-diy-repairs-you-may-not-know-you-can-make-yourself/" TargetMode="External"/><Relationship Id="rId554" Type="http://schemas.openxmlformats.org/officeDocument/2006/relationships/hyperlink" Target="https://www.avail.com/education/articles/most-reported-tenant-maintenance-issues" TargetMode="External"/><Relationship Id="rId555" Type="http://schemas.openxmlformats.org/officeDocument/2006/relationships/hyperlink" Target="https://www.multifamilyinsiders.com/apartment-ideas/apartment-maintenance/10457-most-common-service-requests" TargetMode="External"/><Relationship Id="rId556" Type="http://schemas.openxmlformats.org/officeDocument/2006/relationships/hyperlink" Target="https://www.hemlane.com/resources/rental-property-maintenance-requests/" TargetMode="External"/><Relationship Id="rId557" Type="http://schemas.openxmlformats.org/officeDocument/2006/relationships/hyperlink" Target="https://www.loopexdigital.com/blog/plumbing-keywords-seo-ppc" TargetMode="External"/><Relationship Id="rId558" Type="http://schemas.openxmlformats.org/officeDocument/2006/relationships/hyperlink" Target="https://www.familyhandyman.com/list/stop-hiring-out-for-these-home-repairs/" TargetMode="External"/><Relationship Id="rId559" Type="http://schemas.openxmlformats.org/officeDocument/2006/relationships/hyperlink" Target="https://www.hemlane.com/resources/rental-property-maintenance-requests/" TargetMode="External"/><Relationship Id="rId560" Type="http://schemas.openxmlformats.org/officeDocument/2006/relationships/hyperlink" Target="https://www.har.com/web/cano/blogs/141789" TargetMode="External"/><Relationship Id="rId561" Type="http://schemas.openxmlformats.org/officeDocument/2006/relationships/hyperlink" Target="https://www.homeserve.com/blog/cost-guide/deadbolt-installation" TargetMode="External"/><Relationship Id="rId562" Type="http://schemas.openxmlformats.org/officeDocument/2006/relationships/hyperlink" Target="https://angi.com/articles/keys-home-locksmith-assistance-and-costs.htm" TargetMode="External"/><Relationship Id="rId563" Type="http://schemas.openxmlformats.org/officeDocument/2006/relationships/hyperlink" Target="https://www.thumbtack.com/guide/content/thumbtack-reveals-the-2025-most-festive-cities-where-homeowners-go-all-out-for-the-holidays" TargetMode="External"/><Relationship Id="rId564" Type="http://schemas.openxmlformats.org/officeDocument/2006/relationships/hyperlink" Target="https://blog.thumbtack.com/thumbtack-reveals-the-2025-most-festive-cities-where-homeowners-go-all-out-for-the-holidays-f2e9ad0831e1" TargetMode="External"/><Relationship Id="rId565" Type="http://schemas.openxmlformats.org/officeDocument/2006/relationships/hyperlink" Target="https://getjobber.com/academy/handyman/handyman-services-list/" TargetMode="External"/><Relationship Id="rId566" Type="http://schemas.openxmlformats.org/officeDocument/2006/relationships/hyperlink" Target="https://www.washingtontimes.com/news/2016/nov/24/handy-crowdsourced-handyman-service-will-pick-up-o/" TargetMode="External"/><Relationship Id="rId567" Type="http://schemas.openxmlformats.org/officeDocument/2006/relationships/hyperlink" Target="https://www.thumbtack.com/p/cabinet-refacing-cost" TargetMode="External"/><Relationship Id="rId568" Type="http://schemas.openxmlformats.org/officeDocument/2006/relationships/hyperlink" Target="https://www.upcover.com/blog/most-requested-handyman-services-a-guide-for-success" TargetMode="External"/><Relationship Id="rId569" Type="http://schemas.openxmlformats.org/officeDocument/2006/relationships/hyperlink" Target="https://www.bobvila.com/articles/hiring-a-handyman-near-me.md" TargetMode="External"/><Relationship Id="rId570" Type="http://schemas.openxmlformats.org/officeDocument/2006/relationships/hyperlink" Target="https://www.homedepot.com/services/c/cabinet-hardware-installation/70b3b3464" TargetMode="External"/><Relationship Id="rId571" Type="http://schemas.openxmlformats.org/officeDocument/2006/relationships/hyperlink" Target="https://www.poyst.com/business/handyman-connection-of-kitchener" TargetMode="External"/><Relationship Id="rId572" Type="http://schemas.openxmlformats.org/officeDocument/2006/relationships/hyperlink" Target="https://www.familyhandyman.com/list/home-improvements-you-should-never-pay-for/" TargetMode="External"/><Relationship Id="rId573" Type="http://schemas.openxmlformats.org/officeDocument/2006/relationships/hyperlink" Target="https://communityimpact.com/mckinney/business/mr-handyman-of-midwest-collin-county-finds-success-in-full-service-residential-commercial-property-repairs-maintenance/" TargetMode="External"/><Relationship Id="rId574" Type="http://schemas.openxmlformats.org/officeDocument/2006/relationships/hyperlink" Target="https://handymanconnection.com/golden/" TargetMode="External"/><Relationship Id="rId575" Type="http://schemas.openxmlformats.org/officeDocument/2006/relationships/hyperlink" Target="https://www.dailymotion.com/video/x87d0sd" TargetMode="External"/><Relationship Id="rId576" Type="http://schemas.openxmlformats.org/officeDocument/2006/relationships/hyperlink" Target="https://www.homedepot.com/c/alp/diy-workshops-homeowner-101-indoor/sdki-urjk" TargetMode="External"/><Relationship Id="rId577" Type="http://schemas.openxmlformats.org/officeDocument/2006/relationships/hyperlink" Target="https://www.avail.com/education/articles/most-reported-tenant-maintenance-issues" TargetMode="External"/><Relationship Id="rId578" Type="http://schemas.openxmlformats.org/officeDocument/2006/relationships/hyperlink" Target="https://ipropertymanagement.com/guides/rental-property-maintenance" TargetMode="External"/><Relationship Id="rId579" Type="http://schemas.openxmlformats.org/officeDocument/2006/relationships/hyperlink" Target="https://www.bobvila.com/articles/handyman-services-list/" TargetMode="External"/><Relationship Id="rId580" Type="http://schemas.openxmlformats.org/officeDocument/2006/relationships/hyperlink" Target="https://www.harbertgroup.com/blog/943/Houston+Home+Inspection+Checklist+2026%3A+What+Sellers+Should+Fix+First" TargetMode="External"/><Relationship Id="rId581" Type="http://schemas.openxmlformats.org/officeDocument/2006/relationships/hyperlink" Target="https://www.texasdisposal.com/blog/how-to-prepare-home-for-freeze-texas/" TargetMode="External"/><Relationship Id="rId582" Type="http://schemas.openxmlformats.org/officeDocument/2006/relationships/hyperlink" Target="https://www.cbsnews.com/colorado/news/as-freezing-temps-move-in-pay-attention-to-exposed-pipes" TargetMode="External"/><Relationship Id="rId583" Type="http://schemas.openxmlformats.org/officeDocument/2006/relationships/hyperlink" Target="https://www.lowes.com/n/how-to/how-to-repair-dishwasher" TargetMode="External"/><Relationship Id="rId584" Type="http://schemas.openxmlformats.org/officeDocument/2006/relationships/hyperlink" Target="https://www.bobvila.com/diy/diy-home-repairs/" TargetMode="External"/><Relationship Id="rId585" Type="http://schemas.openxmlformats.org/officeDocument/2006/relationships/hyperlink" Target="https://ipropertymanagement.com/guides/rental-property-maintenance" TargetMode="External"/><Relationship Id="rId586" Type="http://schemas.openxmlformats.org/officeDocument/2006/relationships/hyperlink" Target="https://www.homeadvisor.com/tloc/Valrico-FL/Dishwasher-Repair-or-Install/" TargetMode="External"/><Relationship Id="rId587" Type="http://schemas.openxmlformats.org/officeDocument/2006/relationships/hyperlink" Target="https://www.rotorooter.com/blog/plumbing/state-of-home-repair-in-2024/" TargetMode="External"/><Relationship Id="rId588" Type="http://schemas.openxmlformats.org/officeDocument/2006/relationships/hyperlink" Target="https://ipropertymanagement.com/guides/rental-property-maintenance" TargetMode="External"/><Relationship Id="rId589" Type="http://schemas.openxmlformats.org/officeDocument/2006/relationships/hyperlink" Target="https://rentredi.com/blog/property-maintenance" TargetMode="External"/><Relationship Id="rId590" Type="http://schemas.openxmlformats.org/officeDocument/2006/relationships/hyperlink" Target="https://www.taskrabbit.com/locations/san-antonio/home-improvement" TargetMode="External"/><Relationship Id="rId591" Type="http://schemas.openxmlformats.org/officeDocument/2006/relationships/hyperlink" Target="https://www.thumbtack.com/-Houston-TX/service/3799652" TargetMode="External"/><Relationship Id="rId592" Type="http://schemas.openxmlformats.org/officeDocument/2006/relationships/hyperlink" Target="https://www.lowes.com/n/how-to/diy-projects-new-homeowners" TargetMode="External"/><Relationship Id="rId593" Type="http://schemas.openxmlformats.org/officeDocument/2006/relationships/hyperlink" Target="https://homedepot.com/l/Lemmon-Avenue/TX/Dallas/75209/589/services" TargetMode="External"/><Relationship Id="rId594" Type="http://schemas.openxmlformats.org/officeDocument/2006/relationships/hyperlink" Target="https://www.angi.com/articles/how-much-should-toilet-repairs-cost.htm" TargetMode="External"/><Relationship Id="rId595" Type="http://schemas.openxmlformats.org/officeDocument/2006/relationships/hyperlink" Target="https://www.frontdoor.com/blog/lifestyle/diy-home-improvement-and-repair-jobs-we-most-need-help-with" TargetMode="External"/><Relationship Id="rId596" Type="http://schemas.openxmlformats.org/officeDocument/2006/relationships/hyperlink" Target="https://rentredi.com/blog/property-maintenance" TargetMode="External"/><Relationship Id="rId597" Type="http://schemas.openxmlformats.org/officeDocument/2006/relationships/hyperlink" Target="https://www.taskrabbit.com/cost-guides/assemble-furniture" TargetMode="External"/><Relationship Id="rId598" Type="http://schemas.openxmlformats.org/officeDocument/2006/relationships/hyperlink" Target="https://orders.handy.com/services/partner-furniture-assembly-service/miami" TargetMode="External"/><Relationship Id="rId599" Type="http://schemas.openxmlformats.org/officeDocument/2006/relationships/hyperlink" Target="https://handymanconnection.com/ottawa/?p=742198" TargetMode="External"/><Relationship Id="rId600" Type="http://schemas.openxmlformats.org/officeDocument/2006/relationships/hyperlink" Target="https://handymanconnection.com/mckinney-frisco/articles/how-to-setup-the-perfect-home-office-in-the-mckinney-area/" TargetMode="External"/><Relationship Id="rId601" Type="http://schemas.openxmlformats.org/officeDocument/2006/relationships/hyperlink" Target="https://www.taskrabbit.com/blog/10-common-handyman-tasks-you-can-outsource-instead-of-trying-to-diy/" TargetMode="External"/><Relationship Id="rId602" Type="http://schemas.openxmlformats.org/officeDocument/2006/relationships/hyperlink" Target="https://www.airtasker.com/us/costs/handyman/handyman-prices/" TargetMode="External"/><Relationship Id="rId603" Type="http://schemas.openxmlformats.org/officeDocument/2006/relationships/hyperlink" Target="https://orders.handy.com/services/hanging-pictures-shelves" TargetMode="External"/><Relationship Id="rId604" Type="http://schemas.openxmlformats.org/officeDocument/2006/relationships/hyperlink" Target="https://www.taskrabbit.com/services/mounting" TargetMode="External"/><Relationship Id="rId605" Type="http://schemas.openxmlformats.org/officeDocument/2006/relationships/hyperlink" Target="https://webcf.waybackmachine.org/web/20221112055919/https://www.amazon.com/services" TargetMode="External"/><Relationship Id="rId606" Type="http://schemas.openxmlformats.org/officeDocument/2006/relationships/hyperlink" Target="https://www.bestbuy.com/site/tv-home-theater-services/tv-mounting-packages/pcmcat748300648009.c?id=pcmcat748300648009" TargetMode="External"/><Relationship Id="rId607" Type="http://schemas.openxmlformats.org/officeDocument/2006/relationships/hyperlink" Target="https://www.housecallpro.com/resources/handyman-contract-template-sample/" TargetMode="External"/><Relationship Id="rId608" Type="http://schemas.openxmlformats.org/officeDocument/2006/relationships/hyperlink" Target="https://www.bestbuy.com/site/services/appliance-services/pcmcat255100050002.c?id=pcmcat255100050002" TargetMode="External"/><Relationship Id="rId609" Type="http://schemas.openxmlformats.org/officeDocument/2006/relationships/hyperlink" Target="https://www.lowes.com/l/install/appliances" TargetMode="External"/><Relationship Id="rId610" Type="http://schemas.openxmlformats.org/officeDocument/2006/relationships/hyperlink" Target="https://www.homeadvisor.com/tloc/Ridgeville-SC/Storm-Door-Repair" TargetMode="External"/><Relationship Id="rId611" Type="http://schemas.openxmlformats.org/officeDocument/2006/relationships/hyperlink" Target="https://www.homeadvisor.com/tloc/Salisbury-NC/Hardware-Latches-Tracks-Door-Repair-or-Replace" TargetMode="External"/><Relationship Id="rId612" Type="http://schemas.openxmlformats.org/officeDocument/2006/relationships/hyperlink" Target="https://masslandlords.net/need-a-good-handyman-give-us-your-feedback-on-our-handyperson-proposal/" TargetMode="External"/><Relationship Id="rId613" Type="http://schemas.openxmlformats.org/officeDocument/2006/relationships/hyperlink" Target="https://www.frontdoor.com/blog/lifestyle/diy-home-improvement-and-repair-jobs-we-most-need-help-with" TargetMode="External"/><Relationship Id="rId614" Type="http://schemas.openxmlformats.org/officeDocument/2006/relationships/hyperlink" Target="https://www.thisoldhouse.com/21017718/35-super-fast-fixes-and-easy-upgrades" TargetMode="External"/><Relationship Id="rId615" Type="http://schemas.openxmlformats.org/officeDocument/2006/relationships/hyperlink" Target="https://www.bobvila.com/diy/diy-home-repairs/" TargetMode="External"/><Relationship Id="rId616" Type="http://schemas.openxmlformats.org/officeDocument/2006/relationships/hyperlink" Target="https://www.fairfaxcounty.gov/familyservices/older-adults/golden-gazette/2024-04-rebuilding-together-aff-neighbors-helping-neighbors-live-in-homes-that-are-safe-and-healthy" TargetMode="External"/><Relationship Id="rId617" Type="http://schemas.openxmlformats.org/officeDocument/2006/relationships/hyperlink" Target="https://indianapublicmedia.org/pdf/aarp-homefit-roombyroom.pdf" TargetMode="External"/><Relationship Id="rId618" Type="http://schemas.openxmlformats.org/officeDocument/2006/relationships/hyperlink" Target="https://www.aarp.org/states/ohio/home-improvements-to-help-your-loved-one-age-in-place" TargetMode="External"/><Relationship Id="rId619" Type="http://schemas.openxmlformats.org/officeDocument/2006/relationships/hyperlink" Target="https://www.taskrabbit.com/cost-guides/assemble-furniture" TargetMode="External"/><Relationship Id="rId620" Type="http://schemas.openxmlformats.org/officeDocument/2006/relationships/hyperlink" Target="https://orders.handy.com/services/partner-furniture-assembly-service/miami" TargetMode="External"/><Relationship Id="rId621" Type="http://schemas.openxmlformats.org/officeDocument/2006/relationships/hyperlink" Target="https://redlib.hbubli.cc/r/TaskRabbit/comments/1jfohpf/extremely_low_price" TargetMode="External"/><Relationship Id="rId622" Type="http://schemas.openxmlformats.org/officeDocument/2006/relationships/hyperlink" Target="https://www.bestbuy.com/site/questions/lg-4-5-cu-ft-high-efficiency-top-load-washer-with-turbodrum-technology-white/6273800/question/bde8cce9-2778-37c8-a516-c26cae776bc6" TargetMode="External"/><Relationship Id="rId623" Type="http://schemas.openxmlformats.org/officeDocument/2006/relationships/hyperlink" Target="https://www.lowes.com/l/install/appliances" TargetMode="External"/><Relationship Id="rId624" Type="http://schemas.openxmlformats.org/officeDocument/2006/relationships/hyperlink" Target="https://www.taskrabbit.com/locations/san-antonio/home-improvement" TargetMode="External"/><Relationship Id="rId625" Type="http://schemas.openxmlformats.org/officeDocument/2006/relationships/hyperlink" Target="https://www.taskrabbit.com/blog/how-to-easily-install-a-towel-bar-with-and-without-drilling/" TargetMode="External"/><Relationship Id="rId626" Type="http://schemas.openxmlformats.org/officeDocument/2006/relationships/hyperlink" Target="https://www.taskrabbit.com/partner/swissmadison" TargetMode="External"/><Relationship Id="rId627" Type="http://schemas.openxmlformats.org/officeDocument/2006/relationships/hyperlink" Target="https://next-www.thumbtack.com/ga/cumming/picture-hanging/sedgwick/service/408578192316022788" TargetMode="External"/><Relationship Id="rId628" Type="http://schemas.openxmlformats.org/officeDocument/2006/relationships/hyperlink" Target="https://www.familyhandyman.com/list/15-diy-repairs-you-may-not-know-you-can-make-yourself/" TargetMode="External"/><Relationship Id="rId629" Type="http://schemas.openxmlformats.org/officeDocument/2006/relationships/hyperlink" Target="https://www.familyhandyman.com/list/home-improvements-you-should-never-pay-for/" TargetMode="External"/><Relationship Id="rId630" Type="http://schemas.openxmlformats.org/officeDocument/2006/relationships/hyperlink" Target="https://www.housecallpro.com/licensing/handyman/texas/" TargetMode="External"/><Relationship Id="rId631" Type="http://schemas.openxmlformats.org/officeDocument/2006/relationships/hyperlink" Target="https://www.homeadvisor.com/tloc/Osseo-MN/Window-A-C-Unit-Install" TargetMode="External"/><Relationship Id="rId632" Type="http://schemas.openxmlformats.org/officeDocument/2006/relationships/hyperlink" Target="https://apps.apple.com/app/id604419063" TargetMode="External"/><Relationship Id="rId633" Type="http://schemas.openxmlformats.org/officeDocument/2006/relationships/hyperlink" Target="https://smb.oxfordeagle.com/article/Home-Repair-Expert-Bryan-Harmon-Explains-the-Most-Common-Handyman-Tasks-in-HelloNation/6a08955bd6b3ec3c381af7f9" TargetMode="External"/><Relationship Id="rId634" Type="http://schemas.openxmlformats.org/officeDocument/2006/relationships/hyperlink" Target="https://www.har.com/web/jacoblopez/blogs/146556" TargetMode="External"/><Relationship Id="rId635" Type="http://schemas.openxmlformats.org/officeDocument/2006/relationships/hyperlink" Target="https://www.redfin.com/blog/new-construction-home-inspections-are-they-really-necessary/" TargetMode="External"/><Relationship Id="rId636" Type="http://schemas.openxmlformats.org/officeDocument/2006/relationships/hyperlink" Target="https://handymanconnection.com/parker/services/handyman-carpentry/" TargetMode="External"/><Relationship Id="rId637" Type="http://schemas.openxmlformats.org/officeDocument/2006/relationships/hyperlink" Target="https://waypointinspection.com/blog/home-inspection/common-home-inspection-finds/" TargetMode="External"/><Relationship Id="rId638" Type="http://schemas.openxmlformats.org/officeDocument/2006/relationships/hyperlink" Target="https://www.familyhandyman.com/list/stop-hiring-out-for-these-home-repairs/" TargetMode="External"/><Relationship Id="rId639" Type="http://schemas.openxmlformats.org/officeDocument/2006/relationships/hyperlink" Target="https://getjobber.com/academy/handyman/handyman-services-list/" TargetMode="External"/><Relationship Id="rId640" Type="http://schemas.openxmlformats.org/officeDocument/2006/relationships/hyperlink" Target="https://www.familyhandyman.com/list/home-improvements-you-should-never-pay-for/" TargetMode="External"/><Relationship Id="rId641" Type="http://schemas.openxmlformats.org/officeDocument/2006/relationships/hyperlink" Target="https://www.repairpricer.com/common-repairs-needed-after-home-inspection/" TargetMode="External"/><Relationship Id="rId642" Type="http://schemas.openxmlformats.org/officeDocument/2006/relationships/hyperlink" Target="https://www.lowes.com/n/how-to/how-to-fix-shower-faucets" TargetMode="External"/><Relationship Id="rId643" Type="http://schemas.openxmlformats.org/officeDocument/2006/relationships/hyperlink" Target="https://www.frontdoor.com/blog/lifestyle/diy-home-improvement-and-repair-jobs-we-most-need-help-with" TargetMode="External"/><Relationship Id="rId644" Type="http://schemas.openxmlformats.org/officeDocument/2006/relationships/hyperlink" Target="https://www.avail.com/education/articles/most-reported-tenant-maintenance-issues" TargetMode="External"/><Relationship Id="rId645" Type="http://schemas.openxmlformats.org/officeDocument/2006/relationships/hyperlink" Target="https://www.frontdoor.com/blog/lifestyle/diy-home-improvement-and-repair-jobs-we-most-need-help-with" TargetMode="External"/><Relationship Id="rId646" Type="http://schemas.openxmlformats.org/officeDocument/2006/relationships/hyperlink" Target="https://www.lowes.com/n/how-to/common-toilet-problems" TargetMode="External"/><Relationship Id="rId647" Type="http://schemas.openxmlformats.org/officeDocument/2006/relationships/hyperlink" Target="https://www.texasdisposal.com/blog/how-to-prepare-home-for-freeze-texas/" TargetMode="External"/><Relationship Id="rId648" Type="http://schemas.openxmlformats.org/officeDocument/2006/relationships/hyperlink" Target="https://www.cbsnews.com/texas/news/texas-what-to-do-if-your-pipes-burst-during-a-freeze-and-how-plumbers-say-you-can-prevent-it/" TargetMode="External"/><Relationship Id="rId649" Type="http://schemas.openxmlformats.org/officeDocument/2006/relationships/hyperlink" Target="https://www.cbsnews.com/colorado/news/as-freezing-temps-move-in-pay-attention-to-exposed-pipes" TargetMode="External"/><Relationship Id="rId650" Type="http://schemas.openxmlformats.org/officeDocument/2006/relationships/hyperlink" Target="https://azure.rotorooter.com/denver/resources/fall-plumbing-winterization/" TargetMode="External"/><Relationship Id="rId651" Type="http://schemas.openxmlformats.org/officeDocument/2006/relationships/hyperlink" Target="https://www.servicetitan.com/blog/handyman-services-list" TargetMode="External"/><Relationship Id="rId652" Type="http://schemas.openxmlformats.org/officeDocument/2006/relationships/hyperlink" Target="https://getjobber.com/academy/handyman/handyman-services-list/" TargetMode="External"/><Relationship Id="rId653" Type="http://schemas.openxmlformats.org/officeDocument/2006/relationships/hyperlink" Target="https://invoicefly.com/academy/handyman-services/" TargetMode="External"/><Relationship Id="rId654" Type="http://schemas.openxmlformats.org/officeDocument/2006/relationships/hyperlink" Target="https://www.familyhandyman.com/list/most-popular-home-repairs-for-new-homeowners/" TargetMode="External"/><Relationship Id="rId655" Type="http://schemas.openxmlformats.org/officeDocument/2006/relationships/hyperlink" Target="https://www.bobvila.com/diy/diy-home-repairs/" TargetMode="External"/><Relationship Id="rId656" Type="http://schemas.openxmlformats.org/officeDocument/2006/relationships/hyperlink" Target="https://www.homedepot.com/c/alp/home-improvement-ideas-building-material-guides/dqe7-zgd0/3" TargetMode="External"/><Relationship Id="rId657" Type="http://schemas.openxmlformats.org/officeDocument/2006/relationships/hyperlink" Target="https://www.servicetitan.com/blog/handyman-services-list" TargetMode="External"/><Relationship Id="rId658" Type="http://schemas.openxmlformats.org/officeDocument/2006/relationships/hyperlink" Target="https://getjobber.com/academy/handyman/handyman-services-list/" TargetMode="External"/><Relationship Id="rId659" Type="http://schemas.openxmlformats.org/officeDocument/2006/relationships/hyperlink" Target="https://www.taskrabbit.com/cost-guides/assemble-furniture" TargetMode="External"/><Relationship Id="rId660" Type="http://schemas.openxmlformats.org/officeDocument/2006/relationships/hyperlink" Target="https://www.taskrabbit.com/services/handyman" TargetMode="External"/><Relationship Id="rId661" Type="http://schemas.openxmlformats.org/officeDocument/2006/relationships/hyperlink" Target="https://webcf.waybackmachine.org/web/20221112055919/https://www.amazon.com/services" TargetMode="External"/><Relationship Id="rId662" Type="http://schemas.openxmlformats.org/officeDocument/2006/relationships/hyperlink" Target="https://www.retaildive.com/news/amazon-expands-home-services-to-20-more-us-cities/430368" TargetMode="External"/><Relationship Id="rId663" Type="http://schemas.openxmlformats.org/officeDocument/2006/relationships/hyperlink" Target="https://www.taskrabbit.com/cost-guides/light-installation" TargetMode="External"/><Relationship Id="rId664" Type="http://schemas.openxmlformats.org/officeDocument/2006/relationships/hyperlink" Target="https://www.thumbtack.com/p/lighting-installation-cost" TargetMode="External"/><Relationship Id="rId665" Type="http://schemas.openxmlformats.org/officeDocument/2006/relationships/hyperlink" Target="https://www.familyhandyman.com/list/15-diy-repairs-you-may-not-know-you-can-make-yourself/" TargetMode="External"/><Relationship Id="rId666" Type="http://schemas.openxmlformats.org/officeDocument/2006/relationships/hyperlink" Target="https://www.thisoldhouse.com/flooring/how-to-fix-squeaky-floors" TargetMode="External"/><Relationship Id="rId667" Type="http://schemas.openxmlformats.org/officeDocument/2006/relationships/hyperlink" Target="https://www.hemlane.com/resources/rental-property-maintenance-requests/" TargetMode="External"/><Relationship Id="rId668" Type="http://schemas.openxmlformats.org/officeDocument/2006/relationships/hyperlink" Target="https://www.tenantcloud.com/maintenance/the-complete-guide-to-managing-rental-property-maintenance-requests" TargetMode="External"/><Relationship Id="rId669" Type="http://schemas.openxmlformats.org/officeDocument/2006/relationships/hyperlink" Target="https://www.angi.com/articles/doorbell-installation-cost.htm" TargetMode="External"/><Relationship Id="rId670" Type="http://schemas.openxmlformats.org/officeDocument/2006/relationships/hyperlink" Target="https://www.lowes.com/l/install/appliances" TargetMode="External"/><Relationship Id="rId671" Type="http://schemas.openxmlformats.org/officeDocument/2006/relationships/hyperlink" Target="https://www.taskrabbit.com/cost-guides/light-installation" TargetMode="External"/><Relationship Id="rId672" Type="http://schemas.openxmlformats.org/officeDocument/2006/relationships/hyperlink" Target="https://www.taskrabbit.com/blog/10-common-handyman-tasks-you-can-outsource-instead-of-trying-to-diy/" TargetMode="External"/><Relationship Id="rId673" Type="http://schemas.openxmlformats.org/officeDocument/2006/relationships/hyperlink" Target="https://www.avail.com/education/articles/wear-and-tear-what-is-fair" TargetMode="External"/><Relationship Id="rId674" Type="http://schemas.openxmlformats.org/officeDocument/2006/relationships/hyperlink" Target="https://angi.com/articles/key-not-turning-in-lock.htm" TargetMode="External"/><Relationship Id="rId675" Type="http://schemas.openxmlformats.org/officeDocument/2006/relationships/hyperlink" Target="https://rentpost.com/resources/article/how-to-fix-a-sticky-lock" TargetMode="External"/><Relationship Id="rId676" Type="http://schemas.openxmlformats.org/officeDocument/2006/relationships/hyperlink" Target="https://www.thisoldhouse.com/home-finances/home-warranty-survey" TargetMode="External"/><Relationship Id="rId677" Type="http://schemas.openxmlformats.org/officeDocument/2006/relationships/hyperlink" Target="https://sunset.com/home-garden/design/most-popular-home-projects-summer-2024" TargetMode="External"/><Relationship Id="rId678"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hyperlink" Target="https://www.taskrabbit.com/cost-guides/general-handyman" TargetMode="External"/><Relationship Id="rId2" Type="http://schemas.openxmlformats.org/officeDocument/2006/relationships/hyperlink" Target="https://www.thumbtack.com/p/handyman-prices" TargetMode="External"/><Relationship Id="rId3" Type="http://schemas.openxmlformats.org/officeDocument/2006/relationships/hyperlink" Target="https://www.angi.com/articles/what-are-common-handyman-prices.htm" TargetMode="External"/><Relationship Id="rId4" Type="http://schemas.openxmlformats.org/officeDocument/2006/relationships/hyperlink" Target="https://www.handy.com/services" TargetMode="External"/><Relationship Id="rId5" Type="http://schemas.openxmlformats.org/officeDocument/2006/relationships/hyperlink" Target="https://www.airtasker.com/us/costs/handyman/handyman-prices/" TargetMode="External"/><Relationship Id="rId6" Type="http://schemas.openxmlformats.org/officeDocument/2006/relationships/hyperlink" Target="https://www.bark.com/en/us/handyman/" TargetMode="External"/><Relationship Id="rId7" Type="http://schemas.openxmlformats.org/officeDocument/2006/relationships/hyperlink" Target="https://www.thimble.com/blog/what-are-the-most-requested-handyman-services" TargetMode="External"/><Relationship Id="rId8" Type="http://schemas.openxmlformats.org/officeDocument/2006/relationships/hyperlink" Target="https://www.amenify.com/blog/top-handyman-tasks-for-homeowners-in-us" TargetMode="External"/><Relationship Id="rId9" Type="http://schemas.openxmlformats.org/officeDocument/2006/relationships/hyperlink" Target="https://smb.oxfordeagle.com/article/Home-Repair-Expert-Bryan-Harmon-Explains-the-Most-Common-Handyman-Tasks-in-HelloNation/6a08955bd6b3ec3c381af7f9" TargetMode="External"/><Relationship Id="rId10" Type="http://schemas.openxmlformats.org/officeDocument/2006/relationships/hyperlink" Target="https://getjobber.com/academy/handyman/handyman-services-list/" TargetMode="External"/><Relationship Id="rId11" Type="http://schemas.openxmlformats.org/officeDocument/2006/relationships/hyperlink" Target="https://webcf.waybackmachine.org/web/20220816230350/https://www.homeadvisor.com/cost" TargetMode="External"/><Relationship Id="rId12" Type="http://schemas.openxmlformats.org/officeDocument/2006/relationships/hyperlink" Target="https://www.woodworkingnetwork.com/news/press-releases/most-popular-remodeling-search-terms-2014-porchcom" TargetMode="External"/><Relationship Id="rId13" Type="http://schemas.openxmlformats.org/officeDocument/2006/relationships/hyperlink" Target="https://ir.angi.com/node/8256" TargetMode="External"/><Relationship Id="rId14" Type="http://schemas.openxmlformats.org/officeDocument/2006/relationships/hyperlink" Target="https://www.yelp.com/" TargetMode="External"/><Relationship Id="rId15" Type="http://schemas.openxmlformats.org/officeDocument/2006/relationships/hyperlink" Target="https://www.taskrabbit.com/" TargetMode="External"/><Relationship Id="rId16" Type="http://schemas.openxmlformats.org/officeDocument/2006/relationships/hyperlink" Target="https://www.thimble.com/blog/what-are-the-most-requested-handyman-services" TargetMode="External"/><Relationship Id="rId17" Type="http://schemas.openxmlformats.org/officeDocument/2006/relationships/hyperlink" Target="https://getjobber.com/academy/handyman/handyman-services-list/" TargetMode="External"/><Relationship Id="rId18" Type="http://schemas.openxmlformats.org/officeDocument/2006/relationships/hyperlink" Target="https://academy.getjobber.com/handyman-services-list/" TargetMode="External"/><Relationship Id="rId19" Type="http://schemas.openxmlformats.org/officeDocument/2006/relationships/hyperlink" Target="https://www.amenify.com/blog/top-handyman-tasks-for-homeowners-in-us" TargetMode="External"/><Relationship Id="rId20" Type="http://schemas.openxmlformats.org/officeDocument/2006/relationships/hyperlink" Target="https://www.bobvila.com/articles/handyman-services-list/" TargetMode="External"/><Relationship Id="rId21" Type="http://schemas.openxmlformats.org/officeDocument/2006/relationships/hyperlink" Target="https://www.housecallpro.com/resources/working-in-the-trades/handyman-list-ideas/" TargetMode="External"/><Relationship Id="rId22" Type="http://schemas.openxmlformats.org/officeDocument/2006/relationships/hyperlink" Target="https://www.housecallpro.com/resources/handyman-contract-template-sample/" TargetMode="External"/><Relationship Id="rId23" Type="http://schemas.openxmlformats.org/officeDocument/2006/relationships/hyperlink" Target="https://www.joist.com/blog/handyman-services-list/" TargetMode="External"/><Relationship Id="rId24" Type="http://schemas.openxmlformats.org/officeDocument/2006/relationships/hyperlink" Target="https://handoff.ai/blog/handyman-services-list-the-ultimate-guide" TargetMode="External"/><Relationship Id="rId25" Type="http://schemas.openxmlformats.org/officeDocument/2006/relationships/hyperlink" Target="https://insights.workwave.com/industry/handyman/handyman-services-list-to-offer-customers/" TargetMode="External"/><Relationship Id="rId26" Type="http://schemas.openxmlformats.org/officeDocument/2006/relationships/hyperlink" Target="https://www.servicetitan.com/blog/handyman-services-list" TargetMode="External"/><Relationship Id="rId27" Type="http://schemas.openxmlformats.org/officeDocument/2006/relationships/hyperlink" Target="https://handymanconnection.com/grapevine/2020/09/5-most-common-reasons-to-call-a-handyman" TargetMode="External"/><Relationship Id="rId28" Type="http://schemas.openxmlformats.org/officeDocument/2006/relationships/hyperlink" Target="https://smb.oxfordeagle.com/article/Home-Repair-Expert-Bryan-Harmon-Explains-the-Most-Common-Handyman-Tasks-in-HelloNation/6a08955bd6b3ec3c381af7f9" TargetMode="External"/><Relationship Id="rId29" Type="http://schemas.openxmlformats.org/officeDocument/2006/relationships/hyperlink" Target="https://www.instaservice.com/blog/what-does-a-handyman-do-complete-list-of-handyman-services/" TargetMode="External"/><Relationship Id="rId30" Type="http://schemas.openxmlformats.org/officeDocument/2006/relationships/hyperlink" Target="https://www.taskrabbit.com/blog/10-common-handyman-tasks-you-can-outsource-instead-of-trying-to-diy/" TargetMode="External"/><Relationship Id="rId31" Type="http://schemas.openxmlformats.org/officeDocument/2006/relationships/hyperlink" Target="https://www.upcover.com/blog/most-requested-handyman-services-a-guide-for-success" TargetMode="External"/><Relationship Id="rId32" Type="http://schemas.openxmlformats.org/officeDocument/2006/relationships/hyperlink" Target="https://invoicefly.com/academy/handyman-services/" TargetMode="External"/><Relationship Id="rId33" Type="http://schemas.openxmlformats.org/officeDocument/2006/relationships/hyperlink" Target="https://www.homeadvisor.com/tloc/Cranston-RI/Mount-Tv-Fixed-Price" TargetMode="External"/><Relationship Id="rId34" Type="http://schemas.openxmlformats.org/officeDocument/2006/relationships/hyperlink" Target="https://mrhandyman.com/dover-portsmouth-rochester/about-us/ask-a-pro/2020/december/what-s-on-your-winter-honey-do-list-" TargetMode="External"/><Relationship Id="rId35" Type="http://schemas.openxmlformats.org/officeDocument/2006/relationships/hyperlink" Target="https://landingpages.services.handy.com/services/p-smart-thermostat-install/washington-dc" TargetMode="External"/><Relationship Id="rId36" Type="http://schemas.openxmlformats.org/officeDocument/2006/relationships/hyperlink" Target="https://www.buildzoom.com/answers/t/can-we-use-a-handyman-to-replace-a-garbage-disposal/1837" TargetMode="External"/><Relationship Id="rId37" Type="http://schemas.openxmlformats.org/officeDocument/2006/relationships/hyperlink" Target="https://www.poyst.com/business/handyman-connection-of-kitchener" TargetMode="External"/><Relationship Id="rId38" Type="http://schemas.openxmlformats.org/officeDocument/2006/relationships/hyperlink" Target="https://www.repairpricer.com/common-repairs-needed-after-home-inspection/" TargetMode="External"/><Relationship Id="rId39" Type="http://schemas.openxmlformats.org/officeDocument/2006/relationships/hyperlink" Target="https://www.prnewswire.com/news-releases/repair-pricer-inspection-report-reveals-over-a-million-repairs-needed-for-homes-across-the-us-301308868.html" TargetMode="External"/><Relationship Id="rId40" Type="http://schemas.openxmlformats.org/officeDocument/2006/relationships/hyperlink" Target="https://www.frontdoor.com/blog/lifestyle/diy-home-improvement-and-repair-jobs-we-most-need-help-with" TargetMode="External"/><Relationship Id="rId41" Type="http://schemas.openxmlformats.org/officeDocument/2006/relationships/hyperlink" Target="https://frontdoor.com/blog/handyman-tips/diy-statistics" TargetMode="External"/><Relationship Id="rId42" Type="http://schemas.openxmlformats.org/officeDocument/2006/relationships/hyperlink" Target="https://www.homeserve.com/en-us/media/new-homeserve-survey-shows-growing-number-of-homeowners-face-home-repair-emergencies/" TargetMode="External"/><Relationship Id="rId43" Type="http://schemas.openxmlformats.org/officeDocument/2006/relationships/hyperlink" Target="https://www.nachi.org/ten-problems-hhenews.htm" TargetMode="External"/><Relationship Id="rId44" Type="http://schemas.openxmlformats.org/officeDocument/2006/relationships/hyperlink" Target="https://www.ahs.com/home-matters/homebuyer-hub-resources-and-guides/home-maintenance-issues-statistics/" TargetMode="External"/><Relationship Id="rId45" Type="http://schemas.openxmlformats.org/officeDocument/2006/relationships/hyperlink" Target="https://www.wtkr.com/money/consumer/dont-waste-your-money/popular-home-warranty-company-now-has-over-5k-complaints" TargetMode="External"/><Relationship Id="rId46" Type="http://schemas.openxmlformats.org/officeDocument/2006/relationships/hyperlink" Target="https://www.thisoldhouse.com/home-finances/home-warranty-survey" TargetMode="External"/><Relationship Id="rId47" Type="http://schemas.openxmlformats.org/officeDocument/2006/relationships/hyperlink" Target="https://homesmsp.com/2012/04/top-5-home-warranty-claims.html" TargetMode="External"/><Relationship Id="rId48" Type="http://schemas.openxmlformats.org/officeDocument/2006/relationships/hyperlink" Target="https://worldmetrics.org/home-warranty-industry-statistics/" TargetMode="External"/><Relationship Id="rId49" Type="http://schemas.openxmlformats.org/officeDocument/2006/relationships/hyperlink" Target="https://www.redfin.com/blog/most-common-home-inspection-problems/" TargetMode="External"/><Relationship Id="rId50" Type="http://schemas.openxmlformats.org/officeDocument/2006/relationships/hyperlink" Target="https://www.nar.realtor/news/real-estate-news/most-common-inspection-problems-uncovered-in-new-homes" TargetMode="External"/><Relationship Id="rId51" Type="http://schemas.openxmlformats.org/officeDocument/2006/relationships/hyperlink" Target="https://www.har.com/web/jacoblopez/blogs/146556" TargetMode="External"/><Relationship Id="rId52" Type="http://schemas.openxmlformats.org/officeDocument/2006/relationships/hyperlink" Target="https://activerain.com/blogsview/5936195/nj-home-inspector--the-15-problems-i-find-during-almost-every-home-inspection" TargetMode="External"/><Relationship Id="rId53" Type="http://schemas.openxmlformats.org/officeDocument/2006/relationships/hyperlink" Target="https://insightdiy.co.uk/news/us-homeowners-most-likely-to-put-off-painting-over-other-diy-tasks/10838.htm" TargetMode="External"/><Relationship Id="rId54" Type="http://schemas.openxmlformats.org/officeDocument/2006/relationships/hyperlink" Target="https://housemaster.com/denvernorth/blog/10-most-common-problems-found" TargetMode="External"/><Relationship Id="rId55" Type="http://schemas.openxmlformats.org/officeDocument/2006/relationships/hyperlink" Target="https://todayshomeowner.com/general/guides/diy-home-improvement-projects-by-state/" TargetMode="External"/><Relationship Id="rId56" Type="http://schemas.openxmlformats.org/officeDocument/2006/relationships/hyperlink" Target="https://www.searchenginejournal.com/google-reveals-popular-searches/213648/" TargetMode="External"/><Relationship Id="rId57" Type="http://schemas.openxmlformats.org/officeDocument/2006/relationships/hyperlink" Target="https://www.familyhandyman.com/list/most-popular-home-repairs-for-new-homeowners/" TargetMode="External"/><Relationship Id="rId58" Type="http://schemas.openxmlformats.org/officeDocument/2006/relationships/hyperlink" Target="https://www.familyhandyman.com/list/15-diy-repairs-you-may-not-know-you-can-make-yourself/" TargetMode="External"/><Relationship Id="rId59" Type="http://schemas.openxmlformats.org/officeDocument/2006/relationships/hyperlink" Target="https://www.familyhandyman.com/list/home-improvements-you-should-never-pay-for/" TargetMode="External"/><Relationship Id="rId60" Type="http://schemas.openxmlformats.org/officeDocument/2006/relationships/hyperlink" Target="https://www.familyhandyman.com/list/home-repairs-you-can-do-yourself/" TargetMode="External"/><Relationship Id="rId61" Type="http://schemas.openxmlformats.org/officeDocument/2006/relationships/hyperlink" Target="https://www.familyhandyman.com/list/stop-hiring-out-for-these-home-repairs/" TargetMode="External"/><Relationship Id="rId62" Type="http://schemas.openxmlformats.org/officeDocument/2006/relationships/hyperlink" Target="https://www.bobvila.com/articles/easy-home-repairs/" TargetMode="External"/><Relationship Id="rId63" Type="http://schemas.openxmlformats.org/officeDocument/2006/relationships/hyperlink" Target="https://www.bobvila.com/diy/quick-repair/" TargetMode="External"/><Relationship Id="rId64" Type="http://schemas.openxmlformats.org/officeDocument/2006/relationships/hyperlink" Target="https://www.thisoldhouse.com/21017718/35-super-fast-fixes-and-easy-upgrades" TargetMode="External"/><Relationship Id="rId65" Type="http://schemas.openxmlformats.org/officeDocument/2006/relationships/hyperlink" Target="https://www.homedepot.com/c/alp/home-improvement-ideas-diy-plumbing/dqe7-7lff" TargetMode="External"/><Relationship Id="rId66" Type="http://schemas.openxmlformats.org/officeDocument/2006/relationships/hyperlink" Target="https://corporate.lowes.com/newsroom/press-releases/lowes-debuts-new-way-teach-millennials-how-make-basic-home-repairs-helping-homeowners-build-diy-confidence-and-save-costs-11-10-23" TargetMode="External"/><Relationship Id="rId67" Type="http://schemas.openxmlformats.org/officeDocument/2006/relationships/hyperlink" Target="https://www.rotorooter.com/blog/plumbing/state-of-home-repair-in-2024/" TargetMode="External"/><Relationship Id="rId68" Type="http://schemas.openxmlformats.org/officeDocument/2006/relationships/hyperlink" Target="https://hookagency.com/blog/most-searched-home-services/" TargetMode="External"/><Relationship Id="rId69" Type="http://schemas.openxmlformats.org/officeDocument/2006/relationships/hyperlink" Target="https://www.kwrds.ai/top-keywords/Home-Improvement" TargetMode="External"/><Relationship Id="rId70" Type="http://schemas.openxmlformats.org/officeDocument/2006/relationships/hyperlink" Target="https://www.asinsight.com/report/US/wall-tv-mount" TargetMode="External"/><Relationship Id="rId71" Type="http://schemas.openxmlformats.org/officeDocument/2006/relationships/hyperlink" Target="https://www.diyweek.net/the-nations-most-googled-diy-questions" TargetMode="External"/><Relationship Id="rId72" Type="http://schemas.openxmlformats.org/officeDocument/2006/relationships/hyperlink" Target="https://goodmenproject.com/featured-content/states-looking-into-home-improvements-in-2025/" TargetMode="External"/><Relationship Id="rId73" Type="http://schemas.openxmlformats.org/officeDocument/2006/relationships/hyperlink" Target="https://www.garagecabinets.com/diy-home-repairs" TargetMode="External"/><Relationship Id="rId74" Type="http://schemas.openxmlformats.org/officeDocument/2006/relationships/hyperlink" Target="https://www.hemlane.com/resources/rental-property-maintenance-requests/" TargetMode="External"/><Relationship Id="rId75" Type="http://schemas.openxmlformats.org/officeDocument/2006/relationships/hyperlink" Target="https://www.hemlane.com/resources/rental-repair-resolution-time-benchmarks/" TargetMode="External"/><Relationship Id="rId76" Type="http://schemas.openxmlformats.org/officeDocument/2006/relationships/hyperlink" Target="https://support.hemlane.com/hc/en-us/articles/13155323950221-What-types-of-repairs-does-Hemlane-coordinate-with-the-Rent-Ready-service" TargetMode="External"/><Relationship Id="rId77" Type="http://schemas.openxmlformats.org/officeDocument/2006/relationships/hyperlink" Target="https://www.baymgmtgroup.com/blog/rental-property-repair-costs/" TargetMode="External"/><Relationship Id="rId78" Type="http://schemas.openxmlformats.org/officeDocument/2006/relationships/hyperlink" Target="https://www.avail.com/education/articles/most-reported-tenant-maintenance-issues" TargetMode="External"/><Relationship Id="rId79" Type="http://schemas.openxmlformats.org/officeDocument/2006/relationships/hyperlink" Target="https://www.avail.com/education/articles/wear-and-tear-what-is-fair" TargetMode="External"/><Relationship Id="rId80" Type="http://schemas.openxmlformats.org/officeDocument/2006/relationships/hyperlink" Target="https://ipropertymanagement.com/guides/rental-property-maintenance" TargetMode="External"/><Relationship Id="rId81" Type="http://schemas.openxmlformats.org/officeDocument/2006/relationships/hyperlink" Target="https://naahq.org/news/10-things-about-common-maintenance-work-orders" TargetMode="External"/><Relationship Id="rId82" Type="http://schemas.openxmlformats.org/officeDocument/2006/relationships/hyperlink" Target="https://www.multifamilyinsiders.com/apartment-ideas/apartment-maintenance/10457-most-common-service-requests" TargetMode="External"/><Relationship Id="rId83" Type="http://schemas.openxmlformats.org/officeDocument/2006/relationships/hyperlink" Target="https://oxmaint.com/blog/post/property-maintenance-requests-15-most-common-issues-and-prevention-tips" TargetMode="External"/><Relationship Id="rId84" Type="http://schemas.openxmlformats.org/officeDocument/2006/relationships/hyperlink" Target="https://www.mapcon.com/blog/2025/06/top-maintenance-requests-and-how-to-handle-them" TargetMode="External"/><Relationship Id="rId85" Type="http://schemas.openxmlformats.org/officeDocument/2006/relationships/hyperlink" Target="https://www.tenantcloud.com/maintenance/the-complete-guide-to-managing-rental-property-maintenance-requests" TargetMode="External"/><Relationship Id="rId86" Type="http://schemas.openxmlformats.org/officeDocument/2006/relationships/hyperlink" Target="https://rentredi.com/blog/property-maintenance" TargetMode="External"/><Relationship Id="rId87" Type="http://schemas.openxmlformats.org/officeDocument/2006/relationships/hyperlink" Target="https://belonghome.com/blog/7-common-rental-property-repairs" TargetMode="External"/><Relationship Id="rId88" Type="http://schemas.openxmlformats.org/officeDocument/2006/relationships/hyperlink" Target="https://hexapm.com/apartment-maintenance-requests/" TargetMode="External"/><Relationship Id="rId89" Type="http://schemas.openxmlformats.org/officeDocument/2006/relationships/hyperlink" Target="https://upkeep.com/learning/common-property-management-requests/" TargetMode="External"/><Relationship Id="rId90" Type="http://schemas.openxmlformats.org/officeDocument/2006/relationships/hyperlink" Target="https://masslandlords.net/need-a-good-handyman-give-us-your-feedback-on-our-handyperson-proposal/" TargetMode="External"/><Relationship Id="rId91" Type="http://schemas.openxmlformats.org/officeDocument/2006/relationships/hyperlink" Target="https://happy.co/resources/apartment-make-ready" TargetMode="External"/><Relationship Id="rId92" Type="http://schemas.openxmlformats.org/officeDocument/2006/relationships/hyperlink" Target="https://help.latchel.com/s/topic/0TO5e000000h9wqGAA/latchel-analytics-property-insights-section" TargetMode="External"/><Relationship Id="rId93" Type="http://schemas.openxmlformats.org/officeDocument/2006/relationships/hyperlink" Target="https://lula.life/articles/rental-property-maintenance-management" TargetMode="External"/><Relationship Id="rId94" Type="http://schemas.openxmlformats.org/officeDocument/2006/relationships/hyperlink" Target="https://help.propertymeld.com/hc/en-us/articles/45827358359187-Meld-Work-Types" TargetMode="External"/><Relationship Id="rId95" Type="http://schemas.openxmlformats.org/officeDocument/2006/relationships/hyperlink" Target="https://www.buildium.com/blog/property-maintenance-management-workflows-101/" TargetMode="External"/><Relationship Id="rId96" Type="http://schemas.openxmlformats.org/officeDocument/2006/relationships/hyperlink" Target="https://www.turbotenant.com/property-management/rental-property-maintenance-requests/" TargetMode="External"/><Relationship Id="rId97" Type="http://schemas.openxmlformats.org/officeDocument/2006/relationships/hyperlink" Target="https://www.landlordstudio.com/blog/rental-property-maintenance-expenses" TargetMode="External"/><Relationship Id="rId98" Type="http://schemas.openxmlformats.org/officeDocument/2006/relationships/hyperlink" Target="https://www.tenantcloud.com/maintenance/stats-on-common-maintenance-requests" TargetMode="External"/><Relationship Id="rId99" Type="http://schemas.openxmlformats.org/officeDocument/2006/relationships/hyperlink" Target="https://www.jturnerresearch.com/blog/brewing-data-haunted-by-negative-ratings-and-reviews" TargetMode="External"/><Relationship Id="rId100" Type="http://schemas.openxmlformats.org/officeDocument/2006/relationships/hyperlink" Target="https://www.bestbuy.com/site/smart-home-security-services/smart-home-setup-installation/pcmcat1553538789739.c?id=pcmcat1553538789739" TargetMode="External"/><Relationship Id="rId101" Type="http://schemas.openxmlformats.org/officeDocument/2006/relationships/hyperlink" Target="https://www.lowes.com/l/install" TargetMode="External"/><Relationship Id="rId102" Type="http://schemas.openxmlformats.org/officeDocument/2006/relationships/hyperlink" Target="https://www.homedepot.com/services/" TargetMode="External"/><Relationship Id="rId103" Type="http://schemas.openxmlformats.org/officeDocument/2006/relationships/hyperlink" Target="https://www.washingtontimes.com/news/2016/nov/24/handy-crowdsourced-handyman-service-will-pick-up-o/" TargetMode="External"/><Relationship Id="rId104" Type="http://schemas.openxmlformats.org/officeDocument/2006/relationships/hyperlink" Target="https://webcf.waybackmachine.org/web/20221112055919/https://www.amazon.com/services" TargetMode="External"/><Relationship Id="rId105" Type="http://schemas.openxmlformats.org/officeDocument/2006/relationships/hyperlink" Target="https://support.taskrabbit.com/hc/en-us/articles/360052736472-Which-Task-Categories-Should-I-Add-To-My-Profile" TargetMode="External"/><Relationship Id="rId106" Type="http://schemas.openxmlformats.org/officeDocument/2006/relationships/hyperlink" Target="https://communityimpact.com/mckinney/business/mr-handyman-of-midwest-collin-county-finds-success-in-full-service-residential-commercial-property-repairs-maintenance/" TargetMode="External"/><Relationship Id="rId107" Type="http://schemas.openxmlformats.org/officeDocument/2006/relationships/hyperlink" Target="https://handymanconnection.com/golden/" TargetMode="External"/><Relationship Id="rId108" Type="http://schemas.openxmlformats.org/officeDocument/2006/relationships/hyperlink" Target="https://smb.oxfordeagle.com/article/Home-Repair-Expert-Bryan-Harmon-Explains-the-Most-Common-Handyman-Tasks-in-HelloNation/6a08955bd6b3ec3c381af7f9" TargetMode="External"/><Relationship Id="rId109" Type="http://schemas.openxmlformats.org/officeDocument/2006/relationships/hyperlink" Target="https://www.berkeleyparentsnetwork.org/node/417311" TargetMode="External"/><Relationship Id="rId110" Type="http://schemas.openxmlformats.org/officeDocument/2006/relationships/hyperlink" Target="https://www.bobvila.com/articles/handyman-services-list/" TargetMode="External"/><Relationship Id="rId111" Type="http://schemas.openxmlformats.org/officeDocument/2006/relationships/hyperlink" Target="https://www.thimble.com/blog/what-are-the-most-requested-handyman-services" TargetMode="External"/><Relationship Id="rId112" Type="http://schemas.openxmlformats.org/officeDocument/2006/relationships/hyperlink" Target="https://getjobber.com/academy/handyman/handyman-services-list/" TargetMode="External"/><Relationship Id="rId113" Type="http://schemas.openxmlformats.org/officeDocument/2006/relationships/hyperlink" Target="https://eyeonhousing.org/2023/05/remodeling-market-index-rmi-special-question-analysis-aging-in-place/" TargetMode="External"/><Relationship Id="rId114" Type="http://schemas.openxmlformats.org/officeDocument/2006/relationships/hyperlink" Target="https://www.fairfaxcounty.gov/familyservices/older-adults/golden-gazette/2024-04-rebuilding-together-aff-neighbors-helping-neighbors-live-in-homes-that-are-safe-and-healthy" TargetMode="External"/><Relationship Id="rId115" Type="http://schemas.openxmlformats.org/officeDocument/2006/relationships/hyperlink" Target="https://homeserve.com/sc/plans" TargetMode="External"/><Relationship Id="rId116" Type="http://schemas.openxmlformats.org/officeDocument/2006/relationships/hyperlink" Target="https://www.builtincolorado.com/company/frontdoor" TargetMode="External"/><Relationship Id="rId117" Type="http://schemas.openxmlformats.org/officeDocument/2006/relationships/hyperlink" Target="https://techcrunch.com/2015/04/14/alfred-series-a/" TargetMode="External"/><Relationship Id="rId118" Type="http://schemas.openxmlformats.org/officeDocument/2006/relationships/hyperlink" Target="https://www.taskrabbit.com/cost-guides/ceiling-fan-installation" TargetMode="External"/><Relationship Id="rId119" Type="http://schemas.openxmlformats.org/officeDocument/2006/relationships/hyperlink" Target="https://www.homeadvisor.com/cost/heating-and-cooling/install-a-ceiling-fan/" TargetMode="External"/><Relationship Id="rId120" Type="http://schemas.openxmlformats.org/officeDocument/2006/relationships/hyperlink" Target="https://homeguide.com/costs/faucet-installation-cost" TargetMode="External"/><Relationship Id="rId121" Type="http://schemas.openxmlformats.org/officeDocument/2006/relationships/hyperlink" Target="https://www.fixr.com/costs/garbage-disposal-installation" TargetMode="External"/><Relationship Id="rId122" Type="http://schemas.openxmlformats.org/officeDocument/2006/relationships/hyperlink" Target="https://www.homewyse.com/services/cost_to_install_grab_bars.html" TargetMode="External"/><Relationship Id="rId123" Type="http://schemas.openxmlformats.org/officeDocument/2006/relationships/hyperlink" Target="https://www.thumbtack.com/pa/pittsburgh/wall-hanging-services" TargetMode="External"/><Relationship Id="rId124" Type="http://schemas.openxmlformats.org/officeDocument/2006/relationships/hyperlink" Target="https://www.angi.com/articles/cost-replace-27-electrical-outlets.htm" TargetMode="External"/><Relationship Id="rId125" Type="http://schemas.openxmlformats.org/officeDocument/2006/relationships/hyperlink" Target="https://www.homeserve.com/blog/cost-guide/deadbolt-installation" TargetMode="External"/><Relationship Id="rId126" Type="http://schemas.openxmlformats.org/officeDocument/2006/relationships/hyperlink" Target="https://www.hometips.com/repair-fix/toilet-repair-costs.html" TargetMode="External"/><Relationship Id="rId127" Type="http://schemas.openxmlformats.org/officeDocument/2006/relationships/hyperlink" Target="https://www.bobvila.com/articles/doorbell-installation-cost.md" TargetMode="External"/><Relationship Id="rId128" Type="http://schemas.openxmlformats.org/officeDocument/2006/relationships/hyperlink" Target="https://pocketsuite.io/book/mister-ios-llc/items/smart-devices" TargetMode="External"/><Relationship Id="rId129" Type="http://schemas.openxmlformats.org/officeDocument/2006/relationships/hyperlink" Target="https://www.mybuilder.com/handyman/price-guides/ikea-assembly-cost" TargetMode="External"/><Relationship Id="rId130" Type="http://schemas.openxmlformats.org/officeDocument/2006/relationships/hyperlink" Target="https://new.risingsunartscentre.org/news/handyman-ceiling-fan-install-cost-guide-2026.html" TargetMode="External"/><Relationship Id="rId131" Type="http://schemas.openxmlformats.org/officeDocument/2006/relationships/hyperlink" Target="https://contractorplus.app/resources/construction-costs/install-microwave/mesa-az" TargetMode="External"/><Relationship Id="rId132" Type="http://schemas.openxmlformats.org/officeDocument/2006/relationships/hyperlink" Target="https://www.thimble.com/blog/what-are-the-most-requested-handyman-services" TargetMode="External"/><Relationship Id="rId133" Type="http://schemas.openxmlformats.org/officeDocument/2006/relationships/hyperlink" Target="https://www.enrichlabs.ai/blog/handyman-marketing-complete-guide-2026" TargetMode="External"/><Relationship Id="rId134" Type="http://schemas.openxmlformats.org/officeDocument/2006/relationships/hyperlink" Target="https://www.taskrabbit.com/locations/san-antonio/home-improvement" TargetMode="External"/><Relationship Id="rId135" Type="http://schemas.openxmlformats.org/officeDocument/2006/relationships/hyperlink" Target="https://www.taskrabbit.com/locations/denver/home-improvement" TargetMode="External"/><Relationship Id="rId136" Type="http://schemas.openxmlformats.org/officeDocument/2006/relationships/hyperlink" Target="https://www.housedoctors.com/austin-tx/blog/categories/handyman-services/preparing-your-home-for-austins-brutal-summer/" TargetMode="External"/><Relationship Id="rId137" Type="http://schemas.openxmlformats.org/officeDocument/2006/relationships/hyperlink" Target="https://www.mrhandyman.com/plano/about-us/ask-a-pro/summer-home-prep-repairs-plano/" TargetMode="External"/><Relationship Id="rId138" Type="http://schemas.openxmlformats.org/officeDocument/2006/relationships/hyperlink" Target="https://hdfoundationrepair.com/doors-windows-sticking-foundation-problems-dfw/" TargetMode="External"/><Relationship Id="rId139" Type="http://schemas.openxmlformats.org/officeDocument/2006/relationships/hyperlink" Target="https://mrhandyman.com/cinco-ranch-south-katy-west-houston/handyman-services/exterior/fence-repair" TargetMode="External"/><Relationship Id="rId140" Type="http://schemas.openxmlformats.org/officeDocument/2006/relationships/hyperlink" Target="https://www.thumbtack.com/tx/houston/wall-hanging-services" TargetMode="External"/><Relationship Id="rId141" Type="http://schemas.openxmlformats.org/officeDocument/2006/relationships/hyperlink" Target="https://www.housecallpro.com/licensing/handyman/texas/" TargetMode="External"/><Relationship Id="rId142" Type="http://schemas.openxmlformats.org/officeDocument/2006/relationships/hyperlink" Target="https://www.texasdisposal.com/blog/how-to-prepare-home-for-freeze-texas/" TargetMode="External"/><Relationship Id="rId143" Type="http://schemas.openxmlformats.org/officeDocument/2006/relationships/hyperlink" Target="https://www.cbsnews.com/colorado/news/as-freezing-temps-move-in-pay-attention-to-exposed-pipes" TargetMode="External"/><Relationship Id="rId144" Type="http://schemas.openxmlformats.org/officeDocument/2006/relationships/hyperlink" Target="https://www.consumerreports.org/smart-home/smart-home-tech-upgrades-to-help-sell-your-house/" TargetMode="External"/><Relationship Id="rId145" Type="http://schemas.openxmlformats.org/officeDocument/2006/relationships/hyperlink" Target="https://www.freedoniagroup.com/smart-home-security.html" TargetMode="External"/><Relationship Id="rId146" Type="http://schemas.openxmlformats.org/officeDocument/2006/relationships/hyperlink" Target="https://www.parksassociates.com/blogs/in-the-news/video-doorbell-adoption-rises-to-20-in-us?page=8" TargetMode="External"/><Relationship Id="rId147" Type="http://schemas.openxmlformats.org/officeDocument/2006/relationships/hyperlink" Target="https://intercom.help/jiffy/en/articles/2203108-smart-home-install" TargetMode="External"/><Relationship Id="rId148" Type="http://schemas.openxmlformats.org/officeDocument/2006/relationships/hyperlink" Target="https://consumeraffairs.com/homeowners/aging-in-place-home-modifications.html" TargetMode="External"/><Relationship Id="rId149" Type="http://schemas.openxmlformats.org/officeDocument/2006/relationships/hyperlink" Target="https://origin-2.fixr.com/costs/childproofing" TargetMode="External"/><Relationship Id="rId150" Type="http://schemas.openxmlformats.org/officeDocument/2006/relationships/hyperlink" Target="https://handymanconnection.com/ottawa/?p=742198" TargetMode="External"/><Relationship Id="rId151" Type="http://schemas.openxmlformats.org/officeDocument/2006/relationships/hyperlink" Target="https://www.globenewswire.com/news-release/2025/01/28/3016441/0/en/Angi-Releases-2024-State-of-Home-Spending-Report.html" TargetMode="External"/><Relationship Id="rId152" Type="http://schemas.openxmlformats.org/officeDocument/2006/relationships/hyperlink" Target="https://ahs.com/home-matters/repair-maintenance/how-to-troubleshoot-a-garage-door-keypad" TargetMode="External"/><Relationship Id="rId153" Type="http://schemas.openxmlformats.org/officeDocument/2006/relationships/hyperlink" Target="https://coverager.com/stand-and-moen-launch-smart-water-leak-program-with-insurance-discounts/" TargetMode="External"/><Relationship Id="rId154" Type="http://schemas.openxmlformats.org/officeDocument/2006/relationships/hyperlink" Target="https://community.thumbtack.com/discussion/comment/6719/" TargetMode="External"/><Relationship Id="rId155" Type="http://schemas.openxmlformats.org/officeDocument/2006/relationships/hyperlink" Target="https://synced.sg/pages/smart-home-statistics" TargetMode="External"/><Relationship Id="rId156" Type="http://schemas.openxmlformats.org/officeDocument/2006/relationships/hyperlink" Target="https://selector.kurlon.com/live/baby-proofing-service-cost-2026-15984.html" TargetMode="External"/><Relationship Id="rId157" Type="http://schemas.openxmlformats.org/officeDocument/2006/relationships/hyperlink" Target="https://marketkeep.com/seo-keywords-for-handyman-services/" TargetMode="External"/><Relationship Id="rId158" Type="http://schemas.openxmlformats.org/officeDocument/2006/relationships/hyperlink" Target="https://themortgagereports.com/57788/how-home-maintenance-savvy-are-you-study-shows-most-americans-need-serious-help" TargetMode="External"/><Relationship Id="rId159" Type="http://schemas.openxmlformats.org/officeDocument/2006/relationships/hyperlink" Target="https://www.bigrentz.com/blog/home-maintenance-survey" TargetMode="External"/><Relationship Id="rId160" Type="http://schemas.openxmlformats.org/officeDocument/2006/relationships/hyperlink" Target="https://www.loopexdigital.com/blog/plumbing-keywords-seo-ppc" TargetMode="External"/><Relationship Id="rId161" Type="http://schemas.openxmlformats.org/officeDocument/2006/relationships/hyperlink" Target="https://emulent.com/resources/plumbing-seo-keywords-that-increase-service-calls" TargetMode="External"/><Relationship Id="rId162" Type="http://schemas.openxmlformats.org/officeDocument/2006/relationships/hyperlink" Target="https://www.seodata.dev/keyword/install-nest-smart-thermostat" TargetMode="External"/><Relationship Id="rId163" Type="http://schemas.openxmlformats.org/officeDocument/2006/relationships/hyperlink" Target="https://ifamagazine.com/diy-britain-10-home-repairs-brits-struggle-with-most-from-clogged-toilets-to-changing-bulbs-2/" TargetMode="External"/><Relationship Id="rId164" Type="http://schemas.openxmlformats.org/officeDocument/2006/relationships/hyperlink" Target="https://hookagency.com/blog/most-searched-home-services/" TargetMode="External"/><Relationship Id="rId165" Type="http://schemas.openxmlformats.org/officeDocument/2006/relationships/hyperlink" Target="https://www.rankhero.com/keywords/handyman-services" TargetMode="External"/><Relationship Id="rId166" Type="http://schemas.openxmlformats.org/officeDocument/2006/relationships/hyperlink" Target="https://www.asinsight.com/report/US/tv-wall-mount" TargetMode="External"/><Relationship Id="rId167" Type="http://schemas.openxmlformats.org/officeDocument/2006/relationships/hyperlink" Target="https://products.ecomcrew.com/search-term/ceiling%20fans%20without%20lights" TargetMode="External"/><Relationship Id="rId168" Type="http://schemas.openxmlformats.org/officeDocument/2006/relationships/hyperlink" Target="https://seojuice.io/keyword-research/real-estate/home-services/US" TargetMode="External"/><Relationship Id="rId169" Type="http://schemas.openxmlformats.org/officeDocument/2006/relationships/hyperlink" Target="https://www.taskrabbit.com/m/handyman" TargetMode="External"/><Relationship Id="rId170" Type="http://schemas.openxmlformats.org/officeDocument/2006/relationships/hyperlink" Target="https://www.airtasker.com/au/trends/popular/furniture-assembly/" TargetMode="External"/><Relationship Id="rId171" Type="http://schemas.openxmlformats.org/officeDocument/2006/relationships/hyperlink" Target="https://hookagency.com/blog/home-services-google-usage-statistics" TargetMode="External"/><Relationship Id="rId172"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24"/>
    <col collapsed="false" customWidth="true" hidden="false" outlineLevel="0" max="4" min="4" style="0" width="58"/>
    <col collapsed="false" customWidth="true" hidden="false" outlineLevel="0" max="5" min="5" style="0" width="11"/>
    <col collapsed="false" customWidth="true" hidden="false" outlineLevel="0" max="6" min="6" style="0" width="18"/>
    <col collapsed="false" customWidth="true" hidden="false" outlineLevel="0" max="7" min="7" style="0" width="34"/>
    <col collapsed="false" customWidth="true" hidden="false" outlineLevel="0" max="8" min="8" style="0" width="12"/>
    <col collapsed="false" customWidth="true" hidden="false" outlineLevel="0" max="9" min="9" style="0" width="10"/>
    <col collapsed="false" customWidth="true" hidden="false" outlineLevel="0" max="10" min="10" style="0" width="9"/>
    <col collapsed="false" customWidth="true" hidden="false" outlineLevel="0" max="11" min="11" style="0" width="14"/>
    <col collapsed="false" customWidth="true" hidden="false" outlineLevel="0" max="12" min="12" style="0" width="44"/>
    <col collapsed="false" customWidth="true" hidden="false" outlineLevel="0" max="13" min="13" style="0" width="30"/>
    <col collapsed="false" customWidth="true" hidden="false" outlineLevel="0" max="14" min="14" style="0" width="12"/>
    <col collapsed="false" customWidth="true" hidden="false" outlineLevel="0" max="15" min="15" style="0" width="34"/>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46.25" hidden="false" customHeight="false" outlineLevel="0" collapsed="false">
      <c r="A2" s="2" t="n">
        <f aca="false">RANK(J2,$J$2:$J$101)+COUNTIF($J$2:J2,J2)-1</f>
        <v>1</v>
      </c>
      <c r="B2" s="3" t="s">
        <v>15</v>
      </c>
      <c r="C2" s="3" t="s">
        <v>16</v>
      </c>
      <c r="D2" s="3" t="s">
        <v>17</v>
      </c>
      <c r="E2" s="2" t="n">
        <v>90</v>
      </c>
      <c r="F2" s="3" t="s">
        <v>18</v>
      </c>
      <c r="G2" s="3" t="s">
        <v>19</v>
      </c>
      <c r="H2" s="2" t="n">
        <f aca="false">SUMPRODUCT(--(COUNTIFS(Evidence!$A$2:$A$680,B2,Evidence!$B$2:$B$680,{"A","B","C","D","E","F","G","H","I"})&gt;0))</f>
        <v>9</v>
      </c>
      <c r="I2" s="2" t="n">
        <f aca="false">COUNTIF(Evidence!$A$2:$A$680,B2)</f>
        <v>17</v>
      </c>
      <c r="J2" s="2" t="n">
        <f aca="false">H2*'Method &amp; Notes'!$B$4+MIN(I2,'Method &amp; Notes'!$B$6)*'Method &amp; Notes'!$B$5</f>
        <v>98</v>
      </c>
      <c r="K2" s="2" t="str">
        <f aca="false">IF(J2&gt;='Method &amp; Notes'!$B$7,"A - Core",IF(J2&gt;='Method &amp; Notes'!$B$8,"B - Common","C - Frequent"))</f>
        <v>A - Core</v>
      </c>
      <c r="L2" s="3" t="s">
        <v>20</v>
      </c>
      <c r="M2" s="3" t="s">
        <v>21</v>
      </c>
      <c r="N2" s="2" t="str">
        <f aca="false">IF(H2&gt;=6,"High",IF(H2&gt;=3,"Medium","Low"))</f>
        <v>High</v>
      </c>
      <c r="O2" s="3"/>
    </row>
    <row r="3" customFormat="false" ht="46.25" hidden="false" customHeight="false" outlineLevel="0" collapsed="false">
      <c r="A3" s="4" t="n">
        <f aca="false">RANK(J3,$J$2:$J$101)+COUNTIF($J$2:J3,J3)-1</f>
        <v>2</v>
      </c>
      <c r="B3" s="5" t="s">
        <v>22</v>
      </c>
      <c r="C3" s="5" t="s">
        <v>23</v>
      </c>
      <c r="D3" s="5" t="s">
        <v>24</v>
      </c>
      <c r="E3" s="4" t="n">
        <v>120</v>
      </c>
      <c r="F3" s="5" t="s">
        <v>25</v>
      </c>
      <c r="G3" s="5" t="s">
        <v>26</v>
      </c>
      <c r="H3" s="4" t="n">
        <f aca="false">SUMPRODUCT(--(COUNTIFS(Evidence!$A$2:$A$680,B3,Evidence!$B$2:$B$680,{"A","B","C","D","E","F","G","H","I"})&gt;0))</f>
        <v>9</v>
      </c>
      <c r="I3" s="4" t="n">
        <f aca="false">COUNTIF(Evidence!$A$2:$A$680,B3)</f>
        <v>18</v>
      </c>
      <c r="J3" s="4" t="n">
        <f aca="false">H3*'Method &amp; Notes'!$B$4+MIN(I3,'Method &amp; Notes'!$B$6)*'Method &amp; Notes'!$B$5</f>
        <v>98</v>
      </c>
      <c r="K3" s="4" t="str">
        <f aca="false">IF(J3&gt;='Method &amp; Notes'!$B$7,"A - Core",IF(J3&gt;='Method &amp; Notes'!$B$8,"B - Common","C - Frequent"))</f>
        <v>A - Core</v>
      </c>
      <c r="L3" s="5" t="s">
        <v>27</v>
      </c>
      <c r="M3" s="5" t="s">
        <v>28</v>
      </c>
      <c r="N3" s="4" t="str">
        <f aca="false">IF(H3&gt;=6,"High",IF(H3&gt;=3,"Medium","Low"))</f>
        <v>High</v>
      </c>
      <c r="O3" s="5"/>
    </row>
    <row r="4" customFormat="false" ht="46.25" hidden="false" customHeight="false" outlineLevel="0" collapsed="false">
      <c r="A4" s="2" t="n">
        <f aca="false">RANK(J4,$J$2:$J$101)+COUNTIF($J$2:J4,J4)-1</f>
        <v>3</v>
      </c>
      <c r="B4" s="3" t="s">
        <v>29</v>
      </c>
      <c r="C4" s="3" t="s">
        <v>23</v>
      </c>
      <c r="D4" s="3" t="s">
        <v>30</v>
      </c>
      <c r="E4" s="2" t="n">
        <v>60</v>
      </c>
      <c r="F4" s="3" t="s">
        <v>25</v>
      </c>
      <c r="G4" s="3" t="s">
        <v>31</v>
      </c>
      <c r="H4" s="2" t="n">
        <f aca="false">SUMPRODUCT(--(COUNTIFS(Evidence!$A$2:$A$680,B4,Evidence!$B$2:$B$680,{"A","B","C","D","E","F","G","H","I"})&gt;0))</f>
        <v>8</v>
      </c>
      <c r="I4" s="2" t="n">
        <f aca="false">COUNTIF(Evidence!$A$2:$A$680,B4)</f>
        <v>16</v>
      </c>
      <c r="J4" s="2" t="n">
        <f aca="false">H4*'Method &amp; Notes'!$B$4+MIN(I4,'Method &amp; Notes'!$B$6)*'Method &amp; Notes'!$B$5</f>
        <v>88</v>
      </c>
      <c r="K4" s="2" t="str">
        <f aca="false">IF(J4&gt;='Method &amp; Notes'!$B$7,"A - Core",IF(J4&gt;='Method &amp; Notes'!$B$8,"B - Common","C - Frequent"))</f>
        <v>A - Core</v>
      </c>
      <c r="L4" s="3" t="s">
        <v>32</v>
      </c>
      <c r="M4" s="3" t="s">
        <v>29</v>
      </c>
      <c r="N4" s="2" t="str">
        <f aca="false">IF(H4&gt;=6,"High",IF(H4&gt;=3,"Medium","Low"))</f>
        <v>High</v>
      </c>
      <c r="O4" s="3"/>
    </row>
    <row r="5" customFormat="false" ht="35.05" hidden="false" customHeight="false" outlineLevel="0" collapsed="false">
      <c r="A5" s="4" t="n">
        <f aca="false">RANK(J5,$J$2:$J$101)+COUNTIF($J$2:J5,J5)-1</f>
        <v>4</v>
      </c>
      <c r="B5" s="5" t="s">
        <v>33</v>
      </c>
      <c r="C5" s="5" t="s">
        <v>34</v>
      </c>
      <c r="D5" s="5" t="s">
        <v>35</v>
      </c>
      <c r="E5" s="4" t="n">
        <v>45</v>
      </c>
      <c r="F5" s="5" t="s">
        <v>18</v>
      </c>
      <c r="G5" s="5" t="s">
        <v>36</v>
      </c>
      <c r="H5" s="4" t="n">
        <f aca="false">SUMPRODUCT(--(COUNTIFS(Evidence!$A$2:$A$680,B5,Evidence!$B$2:$B$680,{"A","B","C","D","E","F","G","H","I"})&gt;0))</f>
        <v>8</v>
      </c>
      <c r="I5" s="4" t="n">
        <f aca="false">COUNTIF(Evidence!$A$2:$A$680,B5)</f>
        <v>18</v>
      </c>
      <c r="J5" s="4" t="n">
        <f aca="false">H5*'Method &amp; Notes'!$B$4+MIN(I5,'Method &amp; Notes'!$B$6)*'Method &amp; Notes'!$B$5</f>
        <v>88</v>
      </c>
      <c r="K5" s="4" t="str">
        <f aca="false">IF(J5&gt;='Method &amp; Notes'!$B$7,"A - Core",IF(J5&gt;='Method &amp; Notes'!$B$8,"B - Common","C - Frequent"))</f>
        <v>A - Core</v>
      </c>
      <c r="L5" s="5" t="s">
        <v>37</v>
      </c>
      <c r="M5" s="5" t="s">
        <v>38</v>
      </c>
      <c r="N5" s="4" t="str">
        <f aca="false">IF(H5&gt;=6,"High",IF(H5&gt;=3,"Medium","Low"))</f>
        <v>High</v>
      </c>
      <c r="O5" s="5"/>
    </row>
    <row r="6" customFormat="false" ht="35.05" hidden="false" customHeight="false" outlineLevel="0" collapsed="false">
      <c r="A6" s="2" t="n">
        <f aca="false">RANK(J6,$J$2:$J$101)+COUNTIF($J$2:J6,J6)-1</f>
        <v>5</v>
      </c>
      <c r="B6" s="3" t="s">
        <v>39</v>
      </c>
      <c r="C6" s="3" t="s">
        <v>16</v>
      </c>
      <c r="D6" s="3" t="s">
        <v>40</v>
      </c>
      <c r="E6" s="2" t="n">
        <v>75</v>
      </c>
      <c r="F6" s="3" t="s">
        <v>18</v>
      </c>
      <c r="G6" s="3" t="s">
        <v>41</v>
      </c>
      <c r="H6" s="2" t="n">
        <f aca="false">SUMPRODUCT(--(COUNTIFS(Evidence!$A$2:$A$680,B6,Evidence!$B$2:$B$680,{"A","B","C","D","E","F","G","H","I"})&gt;0))</f>
        <v>8</v>
      </c>
      <c r="I6" s="2" t="n">
        <f aca="false">COUNTIF(Evidence!$A$2:$A$680,B6)</f>
        <v>13</v>
      </c>
      <c r="J6" s="2" t="n">
        <f aca="false">H6*'Method &amp; Notes'!$B$4+MIN(I6,'Method &amp; Notes'!$B$6)*'Method &amp; Notes'!$B$5</f>
        <v>88</v>
      </c>
      <c r="K6" s="2" t="str">
        <f aca="false">IF(J6&gt;='Method &amp; Notes'!$B$7,"A - Core",IF(J6&gt;='Method &amp; Notes'!$B$8,"B - Common","C - Frequent"))</f>
        <v>A - Core</v>
      </c>
      <c r="L6" s="3" t="s">
        <v>42</v>
      </c>
      <c r="M6" s="3" t="s">
        <v>21</v>
      </c>
      <c r="N6" s="2" t="str">
        <f aca="false">IF(H6&gt;=6,"High",IF(H6&gt;=3,"Medium","Low"))</f>
        <v>High</v>
      </c>
      <c r="O6" s="3"/>
    </row>
    <row r="7" customFormat="false" ht="46.25" hidden="false" customHeight="false" outlineLevel="0" collapsed="false">
      <c r="A7" s="4" t="n">
        <f aca="false">RANK(J7,$J$2:$J$101)+COUNTIF($J$2:J7,J7)-1</f>
        <v>6</v>
      </c>
      <c r="B7" s="5" t="s">
        <v>43</v>
      </c>
      <c r="C7" s="5" t="s">
        <v>23</v>
      </c>
      <c r="D7" s="5" t="s">
        <v>44</v>
      </c>
      <c r="E7" s="4" t="n">
        <v>60</v>
      </c>
      <c r="F7" s="5" t="s">
        <v>25</v>
      </c>
      <c r="G7" s="5" t="s">
        <v>45</v>
      </c>
      <c r="H7" s="4" t="n">
        <f aca="false">SUMPRODUCT(--(COUNTIFS(Evidence!$A$2:$A$680,B7,Evidence!$B$2:$B$680,{"A","B","C","D","E","F","G","H","I"})&gt;0))</f>
        <v>8</v>
      </c>
      <c r="I7" s="4" t="n">
        <f aca="false">COUNTIF(Evidence!$A$2:$A$680,B7)</f>
        <v>16</v>
      </c>
      <c r="J7" s="4" t="n">
        <f aca="false">H7*'Method &amp; Notes'!$B$4+MIN(I7,'Method &amp; Notes'!$B$6)*'Method &amp; Notes'!$B$5</f>
        <v>88</v>
      </c>
      <c r="K7" s="4" t="str">
        <f aca="false">IF(J7&gt;='Method &amp; Notes'!$B$7,"A - Core",IF(J7&gt;='Method &amp; Notes'!$B$8,"B - Common","C - Frequent"))</f>
        <v>A - Core</v>
      </c>
      <c r="L7" s="5" t="s">
        <v>46</v>
      </c>
      <c r="M7" s="5" t="s">
        <v>43</v>
      </c>
      <c r="N7" s="4" t="str">
        <f aca="false">IF(H7&gt;=6,"High",IF(H7&gt;=3,"Medium","Low"))</f>
        <v>High</v>
      </c>
      <c r="O7" s="5"/>
    </row>
    <row r="8" customFormat="false" ht="35.05" hidden="false" customHeight="false" outlineLevel="0" collapsed="false">
      <c r="A8" s="2" t="n">
        <f aca="false">RANK(J8,$J$2:$J$101)+COUNTIF($J$2:J8,J8)-1</f>
        <v>7</v>
      </c>
      <c r="B8" s="3" t="s">
        <v>47</v>
      </c>
      <c r="C8" s="3" t="s">
        <v>48</v>
      </c>
      <c r="D8" s="3" t="s">
        <v>49</v>
      </c>
      <c r="E8" s="2" t="n">
        <v>45</v>
      </c>
      <c r="F8" s="3" t="s">
        <v>50</v>
      </c>
      <c r="G8" s="3" t="s">
        <v>41</v>
      </c>
      <c r="H8" s="2" t="n">
        <f aca="false">SUMPRODUCT(--(COUNTIFS(Evidence!$A$2:$A$680,B8,Evidence!$B$2:$B$680,{"A","B","C","D","E","F","G","H","I"})&gt;0))</f>
        <v>7</v>
      </c>
      <c r="I8" s="2" t="n">
        <f aca="false">COUNTIF(Evidence!$A$2:$A$680,B8)</f>
        <v>15</v>
      </c>
      <c r="J8" s="2" t="n">
        <f aca="false">H8*'Method &amp; Notes'!$B$4+MIN(I8,'Method &amp; Notes'!$B$6)*'Method &amp; Notes'!$B$5</f>
        <v>78</v>
      </c>
      <c r="K8" s="2" t="str">
        <f aca="false">IF(J8&gt;='Method &amp; Notes'!$B$7,"A - Core",IF(J8&gt;='Method &amp; Notes'!$B$8,"B - Common","C - Frequent"))</f>
        <v>A - Core</v>
      </c>
      <c r="L8" s="3" t="s">
        <v>51</v>
      </c>
      <c r="M8" s="3" t="s">
        <v>21</v>
      </c>
      <c r="N8" s="2" t="str">
        <f aca="false">IF(H8&gt;=6,"High",IF(H8&gt;=3,"Medium","Low"))</f>
        <v>High</v>
      </c>
      <c r="O8" s="3"/>
    </row>
    <row r="9" customFormat="false" ht="35.05" hidden="false" customHeight="false" outlineLevel="0" collapsed="false">
      <c r="A9" s="4" t="n">
        <f aca="false">RANK(J9,$J$2:$J$101)+COUNTIF($J$2:J9,J9)-1</f>
        <v>8</v>
      </c>
      <c r="B9" s="5" t="s">
        <v>52</v>
      </c>
      <c r="C9" s="5" t="s">
        <v>53</v>
      </c>
      <c r="D9" s="5" t="s">
        <v>54</v>
      </c>
      <c r="E9" s="4" t="n">
        <v>120</v>
      </c>
      <c r="F9" s="5" t="s">
        <v>25</v>
      </c>
      <c r="G9" s="5" t="s">
        <v>55</v>
      </c>
      <c r="H9" s="4" t="n">
        <f aca="false">SUMPRODUCT(--(COUNTIFS(Evidence!$A$2:$A$680,B9,Evidence!$B$2:$B$680,{"A","B","C","D","E","F","G","H","I"})&gt;0))</f>
        <v>7</v>
      </c>
      <c r="I9" s="4" t="n">
        <f aca="false">COUNTIF(Evidence!$A$2:$A$680,B9)</f>
        <v>14</v>
      </c>
      <c r="J9" s="4" t="n">
        <f aca="false">H9*'Method &amp; Notes'!$B$4+MIN(I9,'Method &amp; Notes'!$B$6)*'Method &amp; Notes'!$B$5</f>
        <v>78</v>
      </c>
      <c r="K9" s="4" t="str">
        <f aca="false">IF(J9&gt;='Method &amp; Notes'!$B$7,"A - Core",IF(J9&gt;='Method &amp; Notes'!$B$8,"B - Common","C - Frequent"))</f>
        <v>A - Core</v>
      </c>
      <c r="L9" s="5" t="s">
        <v>56</v>
      </c>
      <c r="M9" s="5" t="s">
        <v>21</v>
      </c>
      <c r="N9" s="4" t="str">
        <f aca="false">IF(H9&gt;=6,"High",IF(H9&gt;=3,"Medium","Low"))</f>
        <v>High</v>
      </c>
      <c r="O9" s="5"/>
    </row>
    <row r="10" customFormat="false" ht="46.25" hidden="false" customHeight="false" outlineLevel="0" collapsed="false">
      <c r="A10" s="2" t="n">
        <f aca="false">RANK(J10,$J$2:$J$101)+COUNTIF($J$2:J10,J10)-1</f>
        <v>9</v>
      </c>
      <c r="B10" s="3" t="s">
        <v>57</v>
      </c>
      <c r="C10" s="3" t="s">
        <v>34</v>
      </c>
      <c r="D10" s="3" t="s">
        <v>58</v>
      </c>
      <c r="E10" s="2" t="n">
        <v>90</v>
      </c>
      <c r="F10" s="3" t="s">
        <v>25</v>
      </c>
      <c r="G10" s="3" t="s">
        <v>59</v>
      </c>
      <c r="H10" s="2" t="n">
        <f aca="false">SUMPRODUCT(--(COUNTIFS(Evidence!$A$2:$A$680,B10,Evidence!$B$2:$B$680,{"A","B","C","D","E","F","G","H","I"})&gt;0))</f>
        <v>7</v>
      </c>
      <c r="I10" s="2" t="n">
        <f aca="false">COUNTIF(Evidence!$A$2:$A$680,B10)</f>
        <v>13</v>
      </c>
      <c r="J10" s="2" t="n">
        <f aca="false">H10*'Method &amp; Notes'!$B$4+MIN(I10,'Method &amp; Notes'!$B$6)*'Method &amp; Notes'!$B$5</f>
        <v>78</v>
      </c>
      <c r="K10" s="2" t="str">
        <f aca="false">IF(J10&gt;='Method &amp; Notes'!$B$7,"A - Core",IF(J10&gt;='Method &amp; Notes'!$B$8,"B - Common","C - Frequent"))</f>
        <v>A - Core</v>
      </c>
      <c r="L10" s="3" t="s">
        <v>60</v>
      </c>
      <c r="M10" s="3" t="s">
        <v>57</v>
      </c>
      <c r="N10" s="2" t="str">
        <f aca="false">IF(H10&gt;=6,"High",IF(H10&gt;=3,"Medium","Low"))</f>
        <v>High</v>
      </c>
      <c r="O10" s="3"/>
    </row>
    <row r="11" customFormat="false" ht="46.25" hidden="false" customHeight="false" outlineLevel="0" collapsed="false">
      <c r="A11" s="4" t="n">
        <f aca="false">RANK(J11,$J$2:$J$101)+COUNTIF($J$2:J11,J11)-1</f>
        <v>10</v>
      </c>
      <c r="B11" s="5" t="s">
        <v>61</v>
      </c>
      <c r="C11" s="5" t="s">
        <v>34</v>
      </c>
      <c r="D11" s="5" t="s">
        <v>62</v>
      </c>
      <c r="E11" s="4" t="n">
        <v>60</v>
      </c>
      <c r="F11" s="5" t="s">
        <v>18</v>
      </c>
      <c r="G11" s="5" t="s">
        <v>63</v>
      </c>
      <c r="H11" s="4" t="n">
        <f aca="false">SUMPRODUCT(--(COUNTIFS(Evidence!$A$2:$A$680,B11,Evidence!$B$2:$B$680,{"A","B","C","D","E","F","G","H","I"})&gt;0))</f>
        <v>7</v>
      </c>
      <c r="I11" s="4" t="n">
        <f aca="false">COUNTIF(Evidence!$A$2:$A$680,B11)</f>
        <v>16</v>
      </c>
      <c r="J11" s="4" t="n">
        <f aca="false">H11*'Method &amp; Notes'!$B$4+MIN(I11,'Method &amp; Notes'!$B$6)*'Method &amp; Notes'!$B$5</f>
        <v>78</v>
      </c>
      <c r="K11" s="4" t="str">
        <f aca="false">IF(J11&gt;='Method &amp; Notes'!$B$7,"A - Core",IF(J11&gt;='Method &amp; Notes'!$B$8,"B - Common","C - Frequent"))</f>
        <v>A - Core</v>
      </c>
      <c r="L11" s="5" t="s">
        <v>64</v>
      </c>
      <c r="M11" s="5" t="s">
        <v>21</v>
      </c>
      <c r="N11" s="4" t="str">
        <f aca="false">IF(H11&gt;=6,"High",IF(H11&gt;=3,"Medium","Low"))</f>
        <v>High</v>
      </c>
      <c r="O11" s="5"/>
    </row>
    <row r="12" customFormat="false" ht="46.25" hidden="false" customHeight="false" outlineLevel="0" collapsed="false">
      <c r="A12" s="2" t="n">
        <f aca="false">RANK(J12,$J$2:$J$101)+COUNTIF($J$2:J12,J12)-1</f>
        <v>11</v>
      </c>
      <c r="B12" s="3" t="s">
        <v>65</v>
      </c>
      <c r="C12" s="3" t="s">
        <v>23</v>
      </c>
      <c r="D12" s="3" t="s">
        <v>66</v>
      </c>
      <c r="E12" s="2" t="n">
        <v>30</v>
      </c>
      <c r="F12" s="3" t="s">
        <v>25</v>
      </c>
      <c r="G12" s="3" t="s">
        <v>67</v>
      </c>
      <c r="H12" s="2" t="n">
        <f aca="false">SUMPRODUCT(--(COUNTIFS(Evidence!$A$2:$A$680,B12,Evidence!$B$2:$B$680,{"A","B","C","D","E","F","G","H","I"})&gt;0))</f>
        <v>7</v>
      </c>
      <c r="I12" s="2" t="n">
        <f aca="false">COUNTIF(Evidence!$A$2:$A$680,B12)</f>
        <v>12</v>
      </c>
      <c r="J12" s="2" t="n">
        <f aca="false">H12*'Method &amp; Notes'!$B$4+MIN(I12,'Method &amp; Notes'!$B$6)*'Method &amp; Notes'!$B$5</f>
        <v>78</v>
      </c>
      <c r="K12" s="2" t="str">
        <f aca="false">IF(J12&gt;='Method &amp; Notes'!$B$7,"A - Core",IF(J12&gt;='Method &amp; Notes'!$B$8,"B - Common","C - Frequent"))</f>
        <v>A - Core</v>
      </c>
      <c r="L12" s="3" t="s">
        <v>68</v>
      </c>
      <c r="M12" s="3" t="s">
        <v>21</v>
      </c>
      <c r="N12" s="2" t="str">
        <f aca="false">IF(H12&gt;=6,"High",IF(H12&gt;=3,"Medium","Low"))</f>
        <v>High</v>
      </c>
      <c r="O12" s="3"/>
    </row>
    <row r="13" customFormat="false" ht="23.85" hidden="false" customHeight="false" outlineLevel="0" collapsed="false">
      <c r="A13" s="4" t="n">
        <f aca="false">RANK(J13,$J$2:$J$101)+COUNTIF($J$2:J13,J13)-1</f>
        <v>12</v>
      </c>
      <c r="B13" s="5" t="s">
        <v>69</v>
      </c>
      <c r="C13" s="5" t="s">
        <v>16</v>
      </c>
      <c r="D13" s="5" t="s">
        <v>70</v>
      </c>
      <c r="E13" s="4" t="n">
        <v>60</v>
      </c>
      <c r="F13" s="5" t="s">
        <v>25</v>
      </c>
      <c r="G13" s="5" t="s">
        <v>71</v>
      </c>
      <c r="H13" s="4" t="n">
        <f aca="false">SUMPRODUCT(--(COUNTIFS(Evidence!$A$2:$A$680,B13,Evidence!$B$2:$B$680,{"A","B","C","D","E","F","G","H","I"})&gt;0))</f>
        <v>7</v>
      </c>
      <c r="I13" s="4" t="n">
        <f aca="false">COUNTIF(Evidence!$A$2:$A$680,B13)</f>
        <v>9</v>
      </c>
      <c r="J13" s="4" t="n">
        <f aca="false">H13*'Method &amp; Notes'!$B$4+MIN(I13,'Method &amp; Notes'!$B$6)*'Method &amp; Notes'!$B$5</f>
        <v>78</v>
      </c>
      <c r="K13" s="4" t="str">
        <f aca="false">IF(J13&gt;='Method &amp; Notes'!$B$7,"A - Core",IF(J13&gt;='Method &amp; Notes'!$B$8,"B - Common","C - Frequent"))</f>
        <v>A - Core</v>
      </c>
      <c r="L13" s="5" t="s">
        <v>72</v>
      </c>
      <c r="M13" s="5" t="s">
        <v>21</v>
      </c>
      <c r="N13" s="4" t="str">
        <f aca="false">IF(H13&gt;=6,"High",IF(H13&gt;=3,"Medium","Low"))</f>
        <v>High</v>
      </c>
      <c r="O13" s="5"/>
    </row>
    <row r="14" customFormat="false" ht="46.25" hidden="false" customHeight="false" outlineLevel="0" collapsed="false">
      <c r="A14" s="2" t="n">
        <f aca="false">RANK(J14,$J$2:$J$101)+COUNTIF($J$2:J14,J14)-1</f>
        <v>13</v>
      </c>
      <c r="B14" s="3" t="s">
        <v>73</v>
      </c>
      <c r="C14" s="3" t="s">
        <v>74</v>
      </c>
      <c r="D14" s="3" t="s">
        <v>75</v>
      </c>
      <c r="E14" s="2" t="n">
        <v>75</v>
      </c>
      <c r="F14" s="3" t="s">
        <v>25</v>
      </c>
      <c r="G14" s="3" t="s">
        <v>76</v>
      </c>
      <c r="H14" s="2" t="n">
        <f aca="false">SUMPRODUCT(--(COUNTIFS(Evidence!$A$2:$A$680,B14,Evidence!$B$2:$B$680,{"A","B","C","D","E","F","G","H","I"})&gt;0))</f>
        <v>7</v>
      </c>
      <c r="I14" s="2" t="n">
        <f aca="false">COUNTIF(Evidence!$A$2:$A$680,B14)</f>
        <v>19</v>
      </c>
      <c r="J14" s="2" t="n">
        <f aca="false">H14*'Method &amp; Notes'!$B$4+MIN(I14,'Method &amp; Notes'!$B$6)*'Method &amp; Notes'!$B$5</f>
        <v>78</v>
      </c>
      <c r="K14" s="2" t="str">
        <f aca="false">IF(J14&gt;='Method &amp; Notes'!$B$7,"A - Core",IF(J14&gt;='Method &amp; Notes'!$B$8,"B - Common","C - Frequent"))</f>
        <v>A - Core</v>
      </c>
      <c r="L14" s="3" t="s">
        <v>77</v>
      </c>
      <c r="M14" s="3" t="s">
        <v>21</v>
      </c>
      <c r="N14" s="2" t="str">
        <f aca="false">IF(H14&gt;=6,"High",IF(H14&gt;=3,"Medium","Low"))</f>
        <v>High</v>
      </c>
      <c r="O14" s="3"/>
    </row>
    <row r="15" customFormat="false" ht="35.05" hidden="false" customHeight="false" outlineLevel="0" collapsed="false">
      <c r="A15" s="4" t="n">
        <f aca="false">RANK(J15,$J$2:$J$101)+COUNTIF($J$2:J15,J15)-1</f>
        <v>14</v>
      </c>
      <c r="B15" s="5" t="s">
        <v>78</v>
      </c>
      <c r="C15" s="5" t="s">
        <v>48</v>
      </c>
      <c r="D15" s="5" t="s">
        <v>79</v>
      </c>
      <c r="E15" s="4" t="n">
        <v>90</v>
      </c>
      <c r="F15" s="5" t="s">
        <v>25</v>
      </c>
      <c r="G15" s="5" t="s">
        <v>80</v>
      </c>
      <c r="H15" s="4" t="n">
        <f aca="false">SUMPRODUCT(--(COUNTIFS(Evidence!$A$2:$A$680,B15,Evidence!$B$2:$B$680,{"A","B","C","D","E","F","G","H","I"})&gt;0))</f>
        <v>7</v>
      </c>
      <c r="I15" s="4" t="n">
        <f aca="false">COUNTIF(Evidence!$A$2:$A$680,B15)</f>
        <v>11</v>
      </c>
      <c r="J15" s="4" t="n">
        <f aca="false">H15*'Method &amp; Notes'!$B$4+MIN(I15,'Method &amp; Notes'!$B$6)*'Method &amp; Notes'!$B$5</f>
        <v>78</v>
      </c>
      <c r="K15" s="4" t="str">
        <f aca="false">IF(J15&gt;='Method &amp; Notes'!$B$7,"A - Core",IF(J15&gt;='Method &amp; Notes'!$B$8,"B - Common","C - Frequent"))</f>
        <v>A - Core</v>
      </c>
      <c r="L15" s="5" t="s">
        <v>81</v>
      </c>
      <c r="M15" s="5" t="s">
        <v>21</v>
      </c>
      <c r="N15" s="4" t="str">
        <f aca="false">IF(H15&gt;=6,"High",IF(H15&gt;=3,"Medium","Low"))</f>
        <v>High</v>
      </c>
      <c r="O15" s="5"/>
    </row>
    <row r="16" customFormat="false" ht="46.25" hidden="false" customHeight="false" outlineLevel="0" collapsed="false">
      <c r="A16" s="2" t="n">
        <f aca="false">RANK(J16,$J$2:$J$101)+COUNTIF($J$2:J16,J16)-1</f>
        <v>15</v>
      </c>
      <c r="B16" s="3" t="s">
        <v>82</v>
      </c>
      <c r="C16" s="3" t="s">
        <v>83</v>
      </c>
      <c r="D16" s="3" t="s">
        <v>84</v>
      </c>
      <c r="E16" s="2" t="n">
        <v>150</v>
      </c>
      <c r="F16" s="3" t="s">
        <v>25</v>
      </c>
      <c r="G16" s="3" t="s">
        <v>41</v>
      </c>
      <c r="H16" s="2" t="n">
        <f aca="false">SUMPRODUCT(--(COUNTIFS(Evidence!$A$2:$A$680,B16,Evidence!$B$2:$B$680,{"A","B","C","D","E","F","G","H","I"})&gt;0))</f>
        <v>7</v>
      </c>
      <c r="I16" s="2" t="n">
        <f aca="false">COUNTIF(Evidence!$A$2:$A$680,B16)</f>
        <v>19</v>
      </c>
      <c r="J16" s="2" t="n">
        <f aca="false">H16*'Method &amp; Notes'!$B$4+MIN(I16,'Method &amp; Notes'!$B$6)*'Method &amp; Notes'!$B$5</f>
        <v>78</v>
      </c>
      <c r="K16" s="2" t="str">
        <f aca="false">IF(J16&gt;='Method &amp; Notes'!$B$7,"A - Core",IF(J16&gt;='Method &amp; Notes'!$B$8,"B - Common","C - Frequent"))</f>
        <v>A - Core</v>
      </c>
      <c r="L16" s="3" t="s">
        <v>85</v>
      </c>
      <c r="M16" s="3" t="s">
        <v>21</v>
      </c>
      <c r="N16" s="2" t="str">
        <f aca="false">IF(H16&gt;=6,"High",IF(H16&gt;=3,"Medium","Low"))</f>
        <v>High</v>
      </c>
      <c r="O16" s="3"/>
    </row>
    <row r="17" customFormat="false" ht="23.85" hidden="false" customHeight="false" outlineLevel="0" collapsed="false">
      <c r="A17" s="4" t="n">
        <f aca="false">RANK(J17,$J$2:$J$101)+COUNTIF($J$2:J17,J17)-1</f>
        <v>16</v>
      </c>
      <c r="B17" s="5" t="s">
        <v>86</v>
      </c>
      <c r="C17" s="5" t="s">
        <v>74</v>
      </c>
      <c r="D17" s="5" t="s">
        <v>87</v>
      </c>
      <c r="E17" s="4" t="n">
        <v>60</v>
      </c>
      <c r="F17" s="5" t="s">
        <v>25</v>
      </c>
      <c r="G17" s="5" t="s">
        <v>41</v>
      </c>
      <c r="H17" s="4" t="n">
        <f aca="false">SUMPRODUCT(--(COUNTIFS(Evidence!$A$2:$A$680,B17,Evidence!$B$2:$B$680,{"A","B","C","D","E","F","G","H","I"})&gt;0))</f>
        <v>7</v>
      </c>
      <c r="I17" s="4" t="n">
        <f aca="false">COUNTIF(Evidence!$A$2:$A$680,B17)</f>
        <v>14</v>
      </c>
      <c r="J17" s="4" t="n">
        <f aca="false">H17*'Method &amp; Notes'!$B$4+MIN(I17,'Method &amp; Notes'!$B$6)*'Method &amp; Notes'!$B$5</f>
        <v>78</v>
      </c>
      <c r="K17" s="4" t="str">
        <f aca="false">IF(J17&gt;='Method &amp; Notes'!$B$7,"A - Core",IF(J17&gt;='Method &amp; Notes'!$B$8,"B - Common","C - Frequent"))</f>
        <v>A - Core</v>
      </c>
      <c r="L17" s="5" t="s">
        <v>88</v>
      </c>
      <c r="M17" s="5" t="s">
        <v>21</v>
      </c>
      <c r="N17" s="4" t="str">
        <f aca="false">IF(H17&gt;=6,"High",IF(H17&gt;=3,"Medium","Low"))</f>
        <v>High</v>
      </c>
      <c r="O17" s="5"/>
    </row>
    <row r="18" customFormat="false" ht="35.05" hidden="false" customHeight="false" outlineLevel="0" collapsed="false">
      <c r="A18" s="2" t="n">
        <f aca="false">RANK(J18,$J$2:$J$101)+COUNTIF($J$2:J18,J18)-1</f>
        <v>17</v>
      </c>
      <c r="B18" s="3" t="s">
        <v>89</v>
      </c>
      <c r="C18" s="3" t="s">
        <v>48</v>
      </c>
      <c r="D18" s="3" t="s">
        <v>90</v>
      </c>
      <c r="E18" s="2" t="n">
        <v>45</v>
      </c>
      <c r="F18" s="3" t="s">
        <v>25</v>
      </c>
      <c r="G18" s="3" t="s">
        <v>41</v>
      </c>
      <c r="H18" s="2" t="n">
        <f aca="false">SUMPRODUCT(--(COUNTIFS(Evidence!$A$2:$A$680,B18,Evidence!$B$2:$B$680,{"A","B","C","D","E","F","G","H","I"})&gt;0))</f>
        <v>7</v>
      </c>
      <c r="I18" s="2" t="n">
        <f aca="false">COUNTIF(Evidence!$A$2:$A$680,B18)</f>
        <v>11</v>
      </c>
      <c r="J18" s="2" t="n">
        <f aca="false">H18*'Method &amp; Notes'!$B$4+MIN(I18,'Method &amp; Notes'!$B$6)*'Method &amp; Notes'!$B$5</f>
        <v>78</v>
      </c>
      <c r="K18" s="2" t="str">
        <f aca="false">IF(J18&gt;='Method &amp; Notes'!$B$7,"A - Core",IF(J18&gt;='Method &amp; Notes'!$B$8,"B - Common","C - Frequent"))</f>
        <v>A - Core</v>
      </c>
      <c r="L18" s="3" t="s">
        <v>91</v>
      </c>
      <c r="M18" s="3" t="s">
        <v>92</v>
      </c>
      <c r="N18" s="2" t="str">
        <f aca="false">IF(H18&gt;=6,"High",IF(H18&gt;=3,"Medium","Low"))</f>
        <v>High</v>
      </c>
      <c r="O18" s="3"/>
    </row>
    <row r="19" customFormat="false" ht="35.05" hidden="false" customHeight="false" outlineLevel="0" collapsed="false">
      <c r="A19" s="4" t="n">
        <f aca="false">RANK(J19,$J$2:$J$101)+COUNTIF($J$2:J19,J19)-1</f>
        <v>18</v>
      </c>
      <c r="B19" s="5" t="s">
        <v>93</v>
      </c>
      <c r="C19" s="5" t="s">
        <v>34</v>
      </c>
      <c r="D19" s="5" t="s">
        <v>94</v>
      </c>
      <c r="E19" s="4" t="n">
        <v>30</v>
      </c>
      <c r="F19" s="5" t="s">
        <v>50</v>
      </c>
      <c r="G19" s="5" t="s">
        <v>95</v>
      </c>
      <c r="H19" s="4" t="n">
        <f aca="false">SUMPRODUCT(--(COUNTIFS(Evidence!$A$2:$A$680,B19,Evidence!$B$2:$B$680,{"A","B","C","D","E","F","G","H","I"})&gt;0))</f>
        <v>7</v>
      </c>
      <c r="I19" s="4" t="n">
        <f aca="false">COUNTIF(Evidence!$A$2:$A$680,B19)</f>
        <v>11</v>
      </c>
      <c r="J19" s="4" t="n">
        <f aca="false">H19*'Method &amp; Notes'!$B$4+MIN(I19,'Method &amp; Notes'!$B$6)*'Method &amp; Notes'!$B$5</f>
        <v>78</v>
      </c>
      <c r="K19" s="4" t="str">
        <f aca="false">IF(J19&gt;='Method &amp; Notes'!$B$7,"A - Core",IF(J19&gt;='Method &amp; Notes'!$B$8,"B - Common","C - Frequent"))</f>
        <v>A - Core</v>
      </c>
      <c r="L19" s="5" t="s">
        <v>96</v>
      </c>
      <c r="M19" s="5" t="s">
        <v>21</v>
      </c>
      <c r="N19" s="4" t="str">
        <f aca="false">IF(H19&gt;=6,"High",IF(H19&gt;=3,"Medium","Low"))</f>
        <v>High</v>
      </c>
      <c r="O19" s="5"/>
    </row>
    <row r="20" customFormat="false" ht="46.25" hidden="false" customHeight="false" outlineLevel="0" collapsed="false">
      <c r="A20" s="2" t="n">
        <f aca="false">RANK(J20,$J$2:$J$101)+COUNTIF($J$2:J20,J20)-1</f>
        <v>19</v>
      </c>
      <c r="B20" s="3" t="s">
        <v>97</v>
      </c>
      <c r="C20" s="3" t="s">
        <v>23</v>
      </c>
      <c r="D20" s="3" t="s">
        <v>98</v>
      </c>
      <c r="E20" s="2" t="n">
        <v>45</v>
      </c>
      <c r="F20" s="3" t="s">
        <v>25</v>
      </c>
      <c r="G20" s="3" t="s">
        <v>99</v>
      </c>
      <c r="H20" s="2" t="n">
        <f aca="false">SUMPRODUCT(--(COUNTIFS(Evidence!$A$2:$A$680,B20,Evidence!$B$2:$B$680,{"A","B","C","D","E","F","G","H","I"})&gt;0))</f>
        <v>6</v>
      </c>
      <c r="I20" s="2" t="n">
        <f aca="false">COUNTIF(Evidence!$A$2:$A$680,B20)</f>
        <v>10</v>
      </c>
      <c r="J20" s="2" t="n">
        <f aca="false">H20*'Method &amp; Notes'!$B$4+MIN(I20,'Method &amp; Notes'!$B$6)*'Method &amp; Notes'!$B$5</f>
        <v>68</v>
      </c>
      <c r="K20" s="2" t="str">
        <f aca="false">IF(J20&gt;='Method &amp; Notes'!$B$7,"A - Core",IF(J20&gt;='Method &amp; Notes'!$B$8,"B - Common","C - Frequent"))</f>
        <v>B - Common</v>
      </c>
      <c r="L20" s="3" t="s">
        <v>100</v>
      </c>
      <c r="M20" s="3" t="s">
        <v>21</v>
      </c>
      <c r="N20" s="2" t="str">
        <f aca="false">IF(H20&gt;=6,"High",IF(H20&gt;=3,"Medium","Low"))</f>
        <v>High</v>
      </c>
      <c r="O20" s="3"/>
    </row>
    <row r="21" customFormat="false" ht="35.05" hidden="false" customHeight="false" outlineLevel="0" collapsed="false">
      <c r="A21" s="4" t="n">
        <f aca="false">RANK(J21,$J$2:$J$101)+COUNTIF($J$2:J21,J21)-1</f>
        <v>20</v>
      </c>
      <c r="B21" s="5" t="s">
        <v>101</v>
      </c>
      <c r="C21" s="5" t="s">
        <v>34</v>
      </c>
      <c r="D21" s="5" t="s">
        <v>102</v>
      </c>
      <c r="E21" s="4" t="n">
        <v>120</v>
      </c>
      <c r="F21" s="5" t="s">
        <v>25</v>
      </c>
      <c r="G21" s="5" t="s">
        <v>103</v>
      </c>
      <c r="H21" s="4" t="n">
        <f aca="false">SUMPRODUCT(--(COUNTIFS(Evidence!$A$2:$A$680,B21,Evidence!$B$2:$B$680,{"A","B","C","D","E","F","G","H","I"})&gt;0))</f>
        <v>6</v>
      </c>
      <c r="I21" s="4" t="n">
        <f aca="false">COUNTIF(Evidence!$A$2:$A$680,B21)</f>
        <v>8</v>
      </c>
      <c r="J21" s="4" t="n">
        <f aca="false">H21*'Method &amp; Notes'!$B$4+MIN(I21,'Method &amp; Notes'!$B$6)*'Method &amp; Notes'!$B$5</f>
        <v>68</v>
      </c>
      <c r="K21" s="4" t="str">
        <f aca="false">IF(J21&gt;='Method &amp; Notes'!$B$7,"A - Core",IF(J21&gt;='Method &amp; Notes'!$B$8,"B - Common","C - Frequent"))</f>
        <v>B - Common</v>
      </c>
      <c r="L21" s="5" t="s">
        <v>104</v>
      </c>
      <c r="M21" s="5" t="s">
        <v>105</v>
      </c>
      <c r="N21" s="4" t="str">
        <f aca="false">IF(H21&gt;=6,"High",IF(H21&gt;=3,"Medium","Low"))</f>
        <v>High</v>
      </c>
      <c r="O21" s="5"/>
    </row>
    <row r="22" customFormat="false" ht="46.25" hidden="false" customHeight="false" outlineLevel="0" collapsed="false">
      <c r="A22" s="2" t="n">
        <f aca="false">RANK(J22,$J$2:$J$101)+COUNTIF($J$2:J22,J22)-1</f>
        <v>21</v>
      </c>
      <c r="B22" s="3" t="s">
        <v>106</v>
      </c>
      <c r="C22" s="3" t="s">
        <v>34</v>
      </c>
      <c r="D22" s="3" t="s">
        <v>107</v>
      </c>
      <c r="E22" s="2" t="n">
        <v>60</v>
      </c>
      <c r="F22" s="3" t="s">
        <v>18</v>
      </c>
      <c r="G22" s="3" t="s">
        <v>108</v>
      </c>
      <c r="H22" s="2" t="n">
        <f aca="false">SUMPRODUCT(--(COUNTIFS(Evidence!$A$2:$A$680,B22,Evidence!$B$2:$B$680,{"A","B","C","D","E","F","G","H","I"})&gt;0))</f>
        <v>6</v>
      </c>
      <c r="I22" s="2" t="n">
        <f aca="false">COUNTIF(Evidence!$A$2:$A$680,B22)</f>
        <v>11</v>
      </c>
      <c r="J22" s="2" t="n">
        <f aca="false">H22*'Method &amp; Notes'!$B$4+MIN(I22,'Method &amp; Notes'!$B$6)*'Method &amp; Notes'!$B$5</f>
        <v>68</v>
      </c>
      <c r="K22" s="2" t="str">
        <f aca="false">IF(J22&gt;='Method &amp; Notes'!$B$7,"A - Core",IF(J22&gt;='Method &amp; Notes'!$B$8,"B - Common","C - Frequent"))</f>
        <v>B - Common</v>
      </c>
      <c r="L22" s="3" t="s">
        <v>109</v>
      </c>
      <c r="M22" s="3" t="s">
        <v>21</v>
      </c>
      <c r="N22" s="2" t="str">
        <f aca="false">IF(H22&gt;=6,"High",IF(H22&gt;=3,"Medium","Low"))</f>
        <v>High</v>
      </c>
      <c r="O22" s="3"/>
    </row>
    <row r="23" customFormat="false" ht="35.05" hidden="false" customHeight="false" outlineLevel="0" collapsed="false">
      <c r="A23" s="4" t="n">
        <f aca="false">RANK(J23,$J$2:$J$101)+COUNTIF($J$2:J23,J23)-1</f>
        <v>22</v>
      </c>
      <c r="B23" s="5" t="s">
        <v>110</v>
      </c>
      <c r="C23" s="5" t="s">
        <v>48</v>
      </c>
      <c r="D23" s="5" t="s">
        <v>111</v>
      </c>
      <c r="E23" s="4" t="n">
        <v>30</v>
      </c>
      <c r="F23" s="5" t="s">
        <v>25</v>
      </c>
      <c r="G23" s="5" t="s">
        <v>112</v>
      </c>
      <c r="H23" s="4" t="n">
        <f aca="false">SUMPRODUCT(--(COUNTIFS(Evidence!$A$2:$A$680,B23,Evidence!$B$2:$B$680,{"A","B","C","D","E","F","G","H","I"})&gt;0))</f>
        <v>6</v>
      </c>
      <c r="I23" s="4" t="n">
        <f aca="false">COUNTIF(Evidence!$A$2:$A$680,B23)</f>
        <v>9</v>
      </c>
      <c r="J23" s="4" t="n">
        <f aca="false">H23*'Method &amp; Notes'!$B$4+MIN(I23,'Method &amp; Notes'!$B$6)*'Method &amp; Notes'!$B$5</f>
        <v>68</v>
      </c>
      <c r="K23" s="4" t="str">
        <f aca="false">IF(J23&gt;='Method &amp; Notes'!$B$7,"A - Core",IF(J23&gt;='Method &amp; Notes'!$B$8,"B - Common","C - Frequent"))</f>
        <v>B - Common</v>
      </c>
      <c r="L23" s="5" t="s">
        <v>113</v>
      </c>
      <c r="M23" s="5" t="s">
        <v>110</v>
      </c>
      <c r="N23" s="4" t="str">
        <f aca="false">IF(H23&gt;=6,"High",IF(H23&gt;=3,"Medium","Low"))</f>
        <v>High</v>
      </c>
      <c r="O23" s="5"/>
    </row>
    <row r="24" customFormat="false" ht="35.05" hidden="false" customHeight="false" outlineLevel="0" collapsed="false">
      <c r="A24" s="2" t="n">
        <f aca="false">RANK(J24,$J$2:$J$101)+COUNTIF($J$2:J24,J24)-1</f>
        <v>23</v>
      </c>
      <c r="B24" s="3" t="s">
        <v>114</v>
      </c>
      <c r="C24" s="3" t="s">
        <v>115</v>
      </c>
      <c r="D24" s="3" t="s">
        <v>116</v>
      </c>
      <c r="E24" s="2" t="n">
        <v>30</v>
      </c>
      <c r="F24" s="3" t="s">
        <v>25</v>
      </c>
      <c r="G24" s="3" t="s">
        <v>41</v>
      </c>
      <c r="H24" s="2" t="n">
        <f aca="false">SUMPRODUCT(--(COUNTIFS(Evidence!$A$2:$A$680,B24,Evidence!$B$2:$B$680,{"A","B","C","D","E","F","G","H","I"})&gt;0))</f>
        <v>6</v>
      </c>
      <c r="I24" s="2" t="n">
        <f aca="false">COUNTIF(Evidence!$A$2:$A$680,B24)</f>
        <v>8</v>
      </c>
      <c r="J24" s="2" t="n">
        <f aca="false">H24*'Method &amp; Notes'!$B$4+MIN(I24,'Method &amp; Notes'!$B$6)*'Method &amp; Notes'!$B$5</f>
        <v>68</v>
      </c>
      <c r="K24" s="2" t="str">
        <f aca="false">IF(J24&gt;='Method &amp; Notes'!$B$7,"A - Core",IF(J24&gt;='Method &amp; Notes'!$B$8,"B - Common","C - Frequent"))</f>
        <v>B - Common</v>
      </c>
      <c r="L24" s="3" t="s">
        <v>117</v>
      </c>
      <c r="M24" s="3" t="s">
        <v>21</v>
      </c>
      <c r="N24" s="2" t="str">
        <f aca="false">IF(H24&gt;=6,"High",IF(H24&gt;=3,"Medium","Low"))</f>
        <v>High</v>
      </c>
      <c r="O24" s="3"/>
    </row>
    <row r="25" customFormat="false" ht="46.25" hidden="false" customHeight="false" outlineLevel="0" collapsed="false">
      <c r="A25" s="4" t="n">
        <f aca="false">RANK(J25,$J$2:$J$101)+COUNTIF($J$2:J25,J25)-1</f>
        <v>24</v>
      </c>
      <c r="B25" s="5" t="s">
        <v>118</v>
      </c>
      <c r="C25" s="5" t="s">
        <v>23</v>
      </c>
      <c r="D25" s="5" t="s">
        <v>119</v>
      </c>
      <c r="E25" s="4" t="n">
        <v>45</v>
      </c>
      <c r="F25" s="5" t="s">
        <v>25</v>
      </c>
      <c r="G25" s="5" t="s">
        <v>120</v>
      </c>
      <c r="H25" s="4" t="n">
        <f aca="false">SUMPRODUCT(--(COUNTIFS(Evidence!$A$2:$A$680,B25,Evidence!$B$2:$B$680,{"A","B","C","D","E","F","G","H","I"})&gt;0))</f>
        <v>6</v>
      </c>
      <c r="I25" s="4" t="n">
        <f aca="false">COUNTIF(Evidence!$A$2:$A$680,B25)</f>
        <v>14</v>
      </c>
      <c r="J25" s="4" t="n">
        <f aca="false">H25*'Method &amp; Notes'!$B$4+MIN(I25,'Method &amp; Notes'!$B$6)*'Method &amp; Notes'!$B$5</f>
        <v>68</v>
      </c>
      <c r="K25" s="4" t="str">
        <f aca="false">IF(J25&gt;='Method &amp; Notes'!$B$7,"A - Core",IF(J25&gt;='Method &amp; Notes'!$B$8,"B - Common","C - Frequent"))</f>
        <v>B - Common</v>
      </c>
      <c r="L25" s="5" t="s">
        <v>121</v>
      </c>
      <c r="M25" s="5" t="s">
        <v>122</v>
      </c>
      <c r="N25" s="4" t="str">
        <f aca="false">IF(H25&gt;=6,"High",IF(H25&gt;=3,"Medium","Low"))</f>
        <v>High</v>
      </c>
      <c r="O25" s="5"/>
    </row>
    <row r="26" customFormat="false" ht="35.05" hidden="false" customHeight="false" outlineLevel="0" collapsed="false">
      <c r="A26" s="2" t="n">
        <f aca="false">RANK(J26,$J$2:$J$101)+COUNTIF($J$2:J26,J26)-1</f>
        <v>25</v>
      </c>
      <c r="B26" s="3" t="s">
        <v>123</v>
      </c>
      <c r="C26" s="3" t="s">
        <v>34</v>
      </c>
      <c r="D26" s="3" t="s">
        <v>124</v>
      </c>
      <c r="E26" s="2" t="n">
        <v>45</v>
      </c>
      <c r="F26" s="3" t="s">
        <v>50</v>
      </c>
      <c r="G26" s="3" t="s">
        <v>125</v>
      </c>
      <c r="H26" s="2" t="n">
        <f aca="false">SUMPRODUCT(--(COUNTIFS(Evidence!$A$2:$A$680,B26,Evidence!$B$2:$B$680,{"A","B","C","D","E","F","G","H","I"})&gt;0))</f>
        <v>6</v>
      </c>
      <c r="I26" s="2" t="n">
        <f aca="false">COUNTIF(Evidence!$A$2:$A$680,B26)</f>
        <v>10</v>
      </c>
      <c r="J26" s="2" t="n">
        <f aca="false">H26*'Method &amp; Notes'!$B$4+MIN(I26,'Method &amp; Notes'!$B$6)*'Method &amp; Notes'!$B$5</f>
        <v>68</v>
      </c>
      <c r="K26" s="2" t="str">
        <f aca="false">IF(J26&gt;='Method &amp; Notes'!$B$7,"A - Core",IF(J26&gt;='Method &amp; Notes'!$B$8,"B - Common","C - Frequent"))</f>
        <v>B - Common</v>
      </c>
      <c r="L26" s="3" t="s">
        <v>126</v>
      </c>
      <c r="M26" s="3" t="s">
        <v>21</v>
      </c>
      <c r="N26" s="2" t="str">
        <f aca="false">IF(H26&gt;=6,"High",IF(H26&gt;=3,"Medium","Low"))</f>
        <v>High</v>
      </c>
      <c r="O26" s="3"/>
    </row>
    <row r="27" customFormat="false" ht="23.85" hidden="false" customHeight="false" outlineLevel="0" collapsed="false">
      <c r="A27" s="4" t="n">
        <f aca="false">RANK(J27,$J$2:$J$101)+COUNTIF($J$2:J27,J27)-1</f>
        <v>26</v>
      </c>
      <c r="B27" s="5" t="s">
        <v>127</v>
      </c>
      <c r="C27" s="5" t="s">
        <v>74</v>
      </c>
      <c r="D27" s="5" t="s">
        <v>128</v>
      </c>
      <c r="E27" s="4" t="n">
        <v>45</v>
      </c>
      <c r="F27" s="5" t="s">
        <v>25</v>
      </c>
      <c r="G27" s="5" t="s">
        <v>41</v>
      </c>
      <c r="H27" s="4" t="n">
        <f aca="false">SUMPRODUCT(--(COUNTIFS(Evidence!$A$2:$A$680,B27,Evidence!$B$2:$B$680,{"A","B","C","D","E","F","G","H","I"})&gt;0))</f>
        <v>5</v>
      </c>
      <c r="I27" s="4" t="n">
        <f aca="false">COUNTIF(Evidence!$A$2:$A$680,B27)</f>
        <v>11</v>
      </c>
      <c r="J27" s="4" t="n">
        <f aca="false">H27*'Method &amp; Notes'!$B$4+MIN(I27,'Method &amp; Notes'!$B$6)*'Method &amp; Notes'!$B$5</f>
        <v>58</v>
      </c>
      <c r="K27" s="4" t="str">
        <f aca="false">IF(J27&gt;='Method &amp; Notes'!$B$7,"A - Core",IF(J27&gt;='Method &amp; Notes'!$B$8,"B - Common","C - Frequent"))</f>
        <v>B - Common</v>
      </c>
      <c r="L27" s="5" t="s">
        <v>129</v>
      </c>
      <c r="M27" s="5" t="s">
        <v>130</v>
      </c>
      <c r="N27" s="4" t="str">
        <f aca="false">IF(H27&gt;=6,"High",IF(H27&gt;=3,"Medium","Low"))</f>
        <v>Medium</v>
      </c>
      <c r="O27" s="5"/>
    </row>
    <row r="28" customFormat="false" ht="46.25" hidden="false" customHeight="false" outlineLevel="0" collapsed="false">
      <c r="A28" s="2" t="n">
        <f aca="false">RANK(J28,$J$2:$J$101)+COUNTIF($J$2:J28,J28)-1</f>
        <v>27</v>
      </c>
      <c r="B28" s="3" t="s">
        <v>131</v>
      </c>
      <c r="C28" s="3" t="s">
        <v>132</v>
      </c>
      <c r="D28" s="3" t="s">
        <v>133</v>
      </c>
      <c r="E28" s="2" t="n">
        <v>75</v>
      </c>
      <c r="F28" s="3" t="s">
        <v>25</v>
      </c>
      <c r="G28" s="3" t="s">
        <v>41</v>
      </c>
      <c r="H28" s="2" t="n">
        <f aca="false">SUMPRODUCT(--(COUNTIFS(Evidence!$A$2:$A$680,B28,Evidence!$B$2:$B$680,{"A","B","C","D","E","F","G","H","I"})&gt;0))</f>
        <v>5</v>
      </c>
      <c r="I28" s="2" t="n">
        <f aca="false">COUNTIF(Evidence!$A$2:$A$680,B28)</f>
        <v>10</v>
      </c>
      <c r="J28" s="2" t="n">
        <f aca="false">H28*'Method &amp; Notes'!$B$4+MIN(I28,'Method &amp; Notes'!$B$6)*'Method &amp; Notes'!$B$5</f>
        <v>58</v>
      </c>
      <c r="K28" s="2" t="str">
        <f aca="false">IF(J28&gt;='Method &amp; Notes'!$B$7,"A - Core",IF(J28&gt;='Method &amp; Notes'!$B$8,"B - Common","C - Frequent"))</f>
        <v>B - Common</v>
      </c>
      <c r="L28" s="3" t="s">
        <v>134</v>
      </c>
      <c r="M28" s="3" t="s">
        <v>131</v>
      </c>
      <c r="N28" s="2" t="str">
        <f aca="false">IF(H28&gt;=6,"High",IF(H28&gt;=3,"Medium","Low"))</f>
        <v>Medium</v>
      </c>
      <c r="O28" s="3"/>
    </row>
    <row r="29" customFormat="false" ht="46.25" hidden="false" customHeight="false" outlineLevel="0" collapsed="false">
      <c r="A29" s="4" t="n">
        <f aca="false">RANK(J29,$J$2:$J$101)+COUNTIF($J$2:J29,J29)-1</f>
        <v>28</v>
      </c>
      <c r="B29" s="5" t="s">
        <v>135</v>
      </c>
      <c r="C29" s="5" t="s">
        <v>53</v>
      </c>
      <c r="D29" s="5" t="s">
        <v>136</v>
      </c>
      <c r="E29" s="4" t="n">
        <v>150</v>
      </c>
      <c r="F29" s="5" t="s">
        <v>25</v>
      </c>
      <c r="G29" s="5" t="s">
        <v>137</v>
      </c>
      <c r="H29" s="4" t="n">
        <f aca="false">SUMPRODUCT(--(COUNTIFS(Evidence!$A$2:$A$680,B29,Evidence!$B$2:$B$680,{"A","B","C","D","E","F","G","H","I"})&gt;0))</f>
        <v>5</v>
      </c>
      <c r="I29" s="4" t="n">
        <f aca="false">COUNTIF(Evidence!$A$2:$A$680,B29)</f>
        <v>8</v>
      </c>
      <c r="J29" s="4" t="n">
        <f aca="false">H29*'Method &amp; Notes'!$B$4+MIN(I29,'Method &amp; Notes'!$B$6)*'Method &amp; Notes'!$B$5</f>
        <v>58</v>
      </c>
      <c r="K29" s="4" t="str">
        <f aca="false">IF(J29&gt;='Method &amp; Notes'!$B$7,"A - Core",IF(J29&gt;='Method &amp; Notes'!$B$8,"B - Common","C - Frequent"))</f>
        <v>B - Common</v>
      </c>
      <c r="L29" s="5" t="s">
        <v>138</v>
      </c>
      <c r="M29" s="5" t="s">
        <v>21</v>
      </c>
      <c r="N29" s="4" t="str">
        <f aca="false">IF(H29&gt;=6,"High",IF(H29&gt;=3,"Medium","Low"))</f>
        <v>Medium</v>
      </c>
      <c r="O29" s="5"/>
    </row>
    <row r="30" customFormat="false" ht="35.05" hidden="false" customHeight="false" outlineLevel="0" collapsed="false">
      <c r="A30" s="2" t="n">
        <f aca="false">RANK(J30,$J$2:$J$101)+COUNTIF($J$2:J30,J30)-1</f>
        <v>29</v>
      </c>
      <c r="B30" s="3" t="s">
        <v>139</v>
      </c>
      <c r="C30" s="3" t="s">
        <v>48</v>
      </c>
      <c r="D30" s="3" t="s">
        <v>140</v>
      </c>
      <c r="E30" s="2" t="n">
        <v>60</v>
      </c>
      <c r="F30" s="3" t="s">
        <v>25</v>
      </c>
      <c r="G30" s="3" t="s">
        <v>141</v>
      </c>
      <c r="H30" s="2" t="n">
        <f aca="false">SUMPRODUCT(--(COUNTIFS(Evidence!$A$2:$A$680,B30,Evidence!$B$2:$B$680,{"A","B","C","D","E","F","G","H","I"})&gt;0))</f>
        <v>5</v>
      </c>
      <c r="I30" s="2" t="n">
        <f aca="false">COUNTIF(Evidence!$A$2:$A$680,B30)</f>
        <v>10</v>
      </c>
      <c r="J30" s="2" t="n">
        <f aca="false">H30*'Method &amp; Notes'!$B$4+MIN(I30,'Method &amp; Notes'!$B$6)*'Method &amp; Notes'!$B$5</f>
        <v>58</v>
      </c>
      <c r="K30" s="2" t="str">
        <f aca="false">IF(J30&gt;='Method &amp; Notes'!$B$7,"A - Core",IF(J30&gt;='Method &amp; Notes'!$B$8,"B - Common","C - Frequent"))</f>
        <v>B - Common</v>
      </c>
      <c r="L30" s="3" t="s">
        <v>142</v>
      </c>
      <c r="M30" s="3" t="s">
        <v>21</v>
      </c>
      <c r="N30" s="2" t="str">
        <f aca="false">IF(H30&gt;=6,"High",IF(H30&gt;=3,"Medium","Low"))</f>
        <v>Medium</v>
      </c>
      <c r="O30" s="3"/>
    </row>
    <row r="31" customFormat="false" ht="35.05" hidden="false" customHeight="false" outlineLevel="0" collapsed="false">
      <c r="A31" s="4" t="n">
        <f aca="false">RANK(J31,$J$2:$J$101)+COUNTIF($J$2:J31,J31)-1</f>
        <v>30</v>
      </c>
      <c r="B31" s="5" t="s">
        <v>143</v>
      </c>
      <c r="C31" s="5" t="s">
        <v>23</v>
      </c>
      <c r="D31" s="5" t="s">
        <v>144</v>
      </c>
      <c r="E31" s="4" t="n">
        <v>30</v>
      </c>
      <c r="F31" s="5" t="s">
        <v>25</v>
      </c>
      <c r="G31" s="5" t="s">
        <v>145</v>
      </c>
      <c r="H31" s="4" t="n">
        <f aca="false">SUMPRODUCT(--(COUNTIFS(Evidence!$A$2:$A$680,B31,Evidence!$B$2:$B$680,{"A","B","C","D","E","F","G","H","I"})&gt;0))</f>
        <v>5</v>
      </c>
      <c r="I31" s="4" t="n">
        <f aca="false">COUNTIF(Evidence!$A$2:$A$680,B31)</f>
        <v>8</v>
      </c>
      <c r="J31" s="4" t="n">
        <f aca="false">H31*'Method &amp; Notes'!$B$4+MIN(I31,'Method &amp; Notes'!$B$6)*'Method &amp; Notes'!$B$5</f>
        <v>58</v>
      </c>
      <c r="K31" s="4" t="str">
        <f aca="false">IF(J31&gt;='Method &amp; Notes'!$B$7,"A - Core",IF(J31&gt;='Method &amp; Notes'!$B$8,"B - Common","C - Frequent"))</f>
        <v>B - Common</v>
      </c>
      <c r="L31" s="5" t="s">
        <v>146</v>
      </c>
      <c r="M31" s="5" t="s">
        <v>21</v>
      </c>
      <c r="N31" s="4" t="str">
        <f aca="false">IF(H31&gt;=6,"High",IF(H31&gt;=3,"Medium","Low"))</f>
        <v>Medium</v>
      </c>
      <c r="O31" s="5"/>
    </row>
    <row r="32" customFormat="false" ht="35.05" hidden="false" customHeight="false" outlineLevel="0" collapsed="false">
      <c r="A32" s="2" t="n">
        <f aca="false">RANK(J32,$J$2:$J$101)+COUNTIF($J$2:J32,J32)-1</f>
        <v>31</v>
      </c>
      <c r="B32" s="3" t="s">
        <v>147</v>
      </c>
      <c r="C32" s="3" t="s">
        <v>34</v>
      </c>
      <c r="D32" s="3" t="s">
        <v>148</v>
      </c>
      <c r="E32" s="2" t="n">
        <v>45</v>
      </c>
      <c r="F32" s="3" t="s">
        <v>50</v>
      </c>
      <c r="G32" s="3" t="s">
        <v>149</v>
      </c>
      <c r="H32" s="2" t="n">
        <f aca="false">SUMPRODUCT(--(COUNTIFS(Evidence!$A$2:$A$680,B32,Evidence!$B$2:$B$680,{"A","B","C","D","E","F","G","H","I"})&gt;0))</f>
        <v>5</v>
      </c>
      <c r="I32" s="2" t="n">
        <f aca="false">COUNTIF(Evidence!$A$2:$A$680,B32)</f>
        <v>9</v>
      </c>
      <c r="J32" s="2" t="n">
        <f aca="false">H32*'Method &amp; Notes'!$B$4+MIN(I32,'Method &amp; Notes'!$B$6)*'Method &amp; Notes'!$B$5</f>
        <v>58</v>
      </c>
      <c r="K32" s="2" t="str">
        <f aca="false">IF(J32&gt;='Method &amp; Notes'!$B$7,"A - Core",IF(J32&gt;='Method &amp; Notes'!$B$8,"B - Common","C - Frequent"))</f>
        <v>B - Common</v>
      </c>
      <c r="L32" s="3" t="s">
        <v>150</v>
      </c>
      <c r="M32" s="3" t="s">
        <v>21</v>
      </c>
      <c r="N32" s="2" t="str">
        <f aca="false">IF(H32&gt;=6,"High",IF(H32&gt;=3,"Medium","Low"))</f>
        <v>Medium</v>
      </c>
      <c r="O32" s="3"/>
    </row>
    <row r="33" customFormat="false" ht="35.05" hidden="false" customHeight="false" outlineLevel="0" collapsed="false">
      <c r="A33" s="4" t="n">
        <f aca="false">RANK(J33,$J$2:$J$101)+COUNTIF($J$2:J33,J33)-1</f>
        <v>32</v>
      </c>
      <c r="B33" s="5" t="s">
        <v>151</v>
      </c>
      <c r="C33" s="5" t="s">
        <v>132</v>
      </c>
      <c r="D33" s="5" t="s">
        <v>152</v>
      </c>
      <c r="E33" s="4" t="n">
        <v>45</v>
      </c>
      <c r="F33" s="5" t="s">
        <v>25</v>
      </c>
      <c r="G33" s="5" t="s">
        <v>41</v>
      </c>
      <c r="H33" s="4" t="n">
        <f aca="false">SUMPRODUCT(--(COUNTIFS(Evidence!$A$2:$A$680,B33,Evidence!$B$2:$B$680,{"A","B","C","D","E","F","G","H","I"})&gt;0))</f>
        <v>5</v>
      </c>
      <c r="I33" s="4" t="n">
        <f aca="false">COUNTIF(Evidence!$A$2:$A$680,B33)</f>
        <v>7</v>
      </c>
      <c r="J33" s="4" t="n">
        <f aca="false">H33*'Method &amp; Notes'!$B$4+MIN(I33,'Method &amp; Notes'!$B$6)*'Method &amp; Notes'!$B$5</f>
        <v>57</v>
      </c>
      <c r="K33" s="4" t="str">
        <f aca="false">IF(J33&gt;='Method &amp; Notes'!$B$7,"A - Core",IF(J33&gt;='Method &amp; Notes'!$B$8,"B - Common","C - Frequent"))</f>
        <v>B - Common</v>
      </c>
      <c r="L33" s="5" t="s">
        <v>153</v>
      </c>
      <c r="M33" s="5" t="s">
        <v>154</v>
      </c>
      <c r="N33" s="4" t="str">
        <f aca="false">IF(H33&gt;=6,"High",IF(H33&gt;=3,"Medium","Low"))</f>
        <v>Medium</v>
      </c>
      <c r="O33" s="5"/>
    </row>
    <row r="34" customFormat="false" ht="35.05" hidden="false" customHeight="false" outlineLevel="0" collapsed="false">
      <c r="A34" s="2" t="n">
        <f aca="false">RANK(J34,$J$2:$J$101)+COUNTIF($J$2:J34,J34)-1</f>
        <v>33</v>
      </c>
      <c r="B34" s="3" t="s">
        <v>155</v>
      </c>
      <c r="C34" s="3" t="s">
        <v>23</v>
      </c>
      <c r="D34" s="3" t="s">
        <v>156</v>
      </c>
      <c r="E34" s="2" t="n">
        <v>60</v>
      </c>
      <c r="F34" s="3" t="s">
        <v>25</v>
      </c>
      <c r="G34" s="3" t="s">
        <v>157</v>
      </c>
      <c r="H34" s="2" t="n">
        <f aca="false">SUMPRODUCT(--(COUNTIFS(Evidence!$A$2:$A$680,B34,Evidence!$B$2:$B$680,{"A","B","C","D","E","F","G","H","I"})&gt;0))</f>
        <v>5</v>
      </c>
      <c r="I34" s="2" t="n">
        <f aca="false">COUNTIF(Evidence!$A$2:$A$680,B34)</f>
        <v>7</v>
      </c>
      <c r="J34" s="2" t="n">
        <f aca="false">H34*'Method &amp; Notes'!$B$4+MIN(I34,'Method &amp; Notes'!$B$6)*'Method &amp; Notes'!$B$5</f>
        <v>57</v>
      </c>
      <c r="K34" s="2" t="str">
        <f aca="false">IF(J34&gt;='Method &amp; Notes'!$B$7,"A - Core",IF(J34&gt;='Method &amp; Notes'!$B$8,"B - Common","C - Frequent"))</f>
        <v>B - Common</v>
      </c>
      <c r="L34" s="3" t="s">
        <v>158</v>
      </c>
      <c r="M34" s="3" t="s">
        <v>21</v>
      </c>
      <c r="N34" s="2" t="str">
        <f aca="false">IF(H34&gt;=6,"High",IF(H34&gt;=3,"Medium","Low"))</f>
        <v>Medium</v>
      </c>
      <c r="O34" s="3"/>
    </row>
    <row r="35" customFormat="false" ht="35.05" hidden="false" customHeight="false" outlineLevel="0" collapsed="false">
      <c r="A35" s="4" t="n">
        <f aca="false">RANK(J35,$J$2:$J$101)+COUNTIF($J$2:J35,J35)-1</f>
        <v>34</v>
      </c>
      <c r="B35" s="5" t="s">
        <v>159</v>
      </c>
      <c r="C35" s="5" t="s">
        <v>132</v>
      </c>
      <c r="D35" s="5" t="s">
        <v>160</v>
      </c>
      <c r="E35" s="4" t="n">
        <v>60</v>
      </c>
      <c r="F35" s="5" t="s">
        <v>25</v>
      </c>
      <c r="G35" s="5" t="s">
        <v>161</v>
      </c>
      <c r="H35" s="4" t="n">
        <f aca="false">SUMPRODUCT(--(COUNTIFS(Evidence!$A$2:$A$680,B35,Evidence!$B$2:$B$680,{"A","B","C","D","E","F","G","H","I"})&gt;0))</f>
        <v>5</v>
      </c>
      <c r="I35" s="4" t="n">
        <f aca="false">COUNTIF(Evidence!$A$2:$A$680,B35)</f>
        <v>7</v>
      </c>
      <c r="J35" s="4" t="n">
        <f aca="false">H35*'Method &amp; Notes'!$B$4+MIN(I35,'Method &amp; Notes'!$B$6)*'Method &amp; Notes'!$B$5</f>
        <v>57</v>
      </c>
      <c r="K35" s="4" t="str">
        <f aca="false">IF(J35&gt;='Method &amp; Notes'!$B$7,"A - Core",IF(J35&gt;='Method &amp; Notes'!$B$8,"B - Common","C - Frequent"))</f>
        <v>B - Common</v>
      </c>
      <c r="L35" s="5" t="s">
        <v>162</v>
      </c>
      <c r="M35" s="5" t="s">
        <v>21</v>
      </c>
      <c r="N35" s="4" t="str">
        <f aca="false">IF(H35&gt;=6,"High",IF(H35&gt;=3,"Medium","Low"))</f>
        <v>Medium</v>
      </c>
      <c r="O35" s="5"/>
    </row>
    <row r="36" customFormat="false" ht="35.05" hidden="false" customHeight="false" outlineLevel="0" collapsed="false">
      <c r="A36" s="2" t="n">
        <f aca="false">RANK(J36,$J$2:$J$101)+COUNTIF($J$2:J36,J36)-1</f>
        <v>35</v>
      </c>
      <c r="B36" s="3" t="s">
        <v>163</v>
      </c>
      <c r="C36" s="3" t="s">
        <v>53</v>
      </c>
      <c r="D36" s="3" t="s">
        <v>164</v>
      </c>
      <c r="E36" s="2" t="n">
        <v>60</v>
      </c>
      <c r="F36" s="3" t="s">
        <v>50</v>
      </c>
      <c r="G36" s="3" t="s">
        <v>165</v>
      </c>
      <c r="H36" s="2" t="n">
        <f aca="false">SUMPRODUCT(--(COUNTIFS(Evidence!$A$2:$A$680,B36,Evidence!$B$2:$B$680,{"A","B","C","D","E","F","G","H","I"})&gt;0))</f>
        <v>5</v>
      </c>
      <c r="I36" s="2" t="n">
        <f aca="false">COUNTIF(Evidence!$A$2:$A$680,B36)</f>
        <v>6</v>
      </c>
      <c r="J36" s="2" t="n">
        <f aca="false">H36*'Method &amp; Notes'!$B$4+MIN(I36,'Method &amp; Notes'!$B$6)*'Method &amp; Notes'!$B$5</f>
        <v>56</v>
      </c>
      <c r="K36" s="2" t="str">
        <f aca="false">IF(J36&gt;='Method &amp; Notes'!$B$7,"A - Core",IF(J36&gt;='Method &amp; Notes'!$B$8,"B - Common","C - Frequent"))</f>
        <v>B - Common</v>
      </c>
      <c r="L36" s="3" t="s">
        <v>166</v>
      </c>
      <c r="M36" s="3" t="s">
        <v>21</v>
      </c>
      <c r="N36" s="2" t="str">
        <f aca="false">IF(H36&gt;=6,"High",IF(H36&gt;=3,"Medium","Low"))</f>
        <v>Medium</v>
      </c>
      <c r="O36" s="3"/>
    </row>
    <row r="37" customFormat="false" ht="46.25" hidden="false" customHeight="false" outlineLevel="0" collapsed="false">
      <c r="A37" s="4" t="n">
        <f aca="false">RANK(J37,$J$2:$J$101)+COUNTIF($J$2:J37,J37)-1</f>
        <v>36</v>
      </c>
      <c r="B37" s="5" t="s">
        <v>167</v>
      </c>
      <c r="C37" s="5" t="s">
        <v>115</v>
      </c>
      <c r="D37" s="5" t="s">
        <v>168</v>
      </c>
      <c r="E37" s="4" t="n">
        <v>30</v>
      </c>
      <c r="F37" s="5" t="s">
        <v>25</v>
      </c>
      <c r="G37" s="5" t="s">
        <v>169</v>
      </c>
      <c r="H37" s="4" t="n">
        <f aca="false">SUMPRODUCT(--(COUNTIFS(Evidence!$A$2:$A$680,B37,Evidence!$B$2:$B$680,{"A","B","C","D","E","F","G","H","I"})&gt;0))</f>
        <v>5</v>
      </c>
      <c r="I37" s="4" t="n">
        <f aca="false">COUNTIF(Evidence!$A$2:$A$680,B37)</f>
        <v>6</v>
      </c>
      <c r="J37" s="4" t="n">
        <f aca="false">H37*'Method &amp; Notes'!$B$4+MIN(I37,'Method &amp; Notes'!$B$6)*'Method &amp; Notes'!$B$5</f>
        <v>56</v>
      </c>
      <c r="K37" s="4" t="str">
        <f aca="false">IF(J37&gt;='Method &amp; Notes'!$B$7,"A - Core",IF(J37&gt;='Method &amp; Notes'!$B$8,"B - Common","C - Frequent"))</f>
        <v>B - Common</v>
      </c>
      <c r="L37" s="5" t="s">
        <v>170</v>
      </c>
      <c r="M37" s="5" t="s">
        <v>21</v>
      </c>
      <c r="N37" s="4" t="str">
        <f aca="false">IF(H37&gt;=6,"High",IF(H37&gt;=3,"Medium","Low"))</f>
        <v>Medium</v>
      </c>
      <c r="O37" s="5"/>
    </row>
    <row r="38" customFormat="false" ht="35.05" hidden="false" customHeight="false" outlineLevel="0" collapsed="false">
      <c r="A38" s="2" t="n">
        <f aca="false">RANK(J38,$J$2:$J$101)+COUNTIF($J$2:J38,J38)-1</f>
        <v>37</v>
      </c>
      <c r="B38" s="3" t="s">
        <v>171</v>
      </c>
      <c r="C38" s="3" t="s">
        <v>16</v>
      </c>
      <c r="D38" s="3" t="s">
        <v>172</v>
      </c>
      <c r="E38" s="2" t="n">
        <v>90</v>
      </c>
      <c r="F38" s="3" t="s">
        <v>18</v>
      </c>
      <c r="G38" s="3" t="s">
        <v>173</v>
      </c>
      <c r="H38" s="2" t="n">
        <f aca="false">SUMPRODUCT(--(COUNTIFS(Evidence!$A$2:$A$680,B38,Evidence!$B$2:$B$680,{"A","B","C","D","E","F","G","H","I"})&gt;0))</f>
        <v>4</v>
      </c>
      <c r="I38" s="2" t="n">
        <f aca="false">COUNTIF(Evidence!$A$2:$A$680,B38)</f>
        <v>8</v>
      </c>
      <c r="J38" s="2" t="n">
        <f aca="false">H38*'Method &amp; Notes'!$B$4+MIN(I38,'Method &amp; Notes'!$B$6)*'Method &amp; Notes'!$B$5</f>
        <v>48</v>
      </c>
      <c r="K38" s="2" t="str">
        <f aca="false">IF(J38&gt;='Method &amp; Notes'!$B$7,"A - Core",IF(J38&gt;='Method &amp; Notes'!$B$8,"B - Common","C - Frequent"))</f>
        <v>B - Common</v>
      </c>
      <c r="L38" s="3" t="s">
        <v>174</v>
      </c>
      <c r="M38" s="3" t="s">
        <v>21</v>
      </c>
      <c r="N38" s="2" t="str">
        <f aca="false">IF(H38&gt;=6,"High",IF(H38&gt;=3,"Medium","Low"))</f>
        <v>Medium</v>
      </c>
      <c r="O38" s="3"/>
    </row>
    <row r="39" customFormat="false" ht="35.05" hidden="false" customHeight="false" outlineLevel="0" collapsed="false">
      <c r="A39" s="4" t="n">
        <f aca="false">RANK(J39,$J$2:$J$101)+COUNTIF($J$2:J39,J39)-1</f>
        <v>38</v>
      </c>
      <c r="B39" s="5" t="s">
        <v>175</v>
      </c>
      <c r="C39" s="5" t="s">
        <v>132</v>
      </c>
      <c r="D39" s="5" t="s">
        <v>176</v>
      </c>
      <c r="E39" s="4" t="n">
        <v>90</v>
      </c>
      <c r="F39" s="5" t="s">
        <v>25</v>
      </c>
      <c r="G39" s="5" t="s">
        <v>41</v>
      </c>
      <c r="H39" s="4" t="n">
        <f aca="false">SUMPRODUCT(--(COUNTIFS(Evidence!$A$2:$A$680,B39,Evidence!$B$2:$B$680,{"A","B","C","D","E","F","G","H","I"})&gt;0))</f>
        <v>4</v>
      </c>
      <c r="I39" s="4" t="n">
        <f aca="false">COUNTIF(Evidence!$A$2:$A$680,B39)</f>
        <v>9</v>
      </c>
      <c r="J39" s="4" t="n">
        <f aca="false">H39*'Method &amp; Notes'!$B$4+MIN(I39,'Method &amp; Notes'!$B$6)*'Method &amp; Notes'!$B$5</f>
        <v>48</v>
      </c>
      <c r="K39" s="4" t="str">
        <f aca="false">IF(J39&gt;='Method &amp; Notes'!$B$7,"A - Core",IF(J39&gt;='Method &amp; Notes'!$B$8,"B - Common","C - Frequent"))</f>
        <v>B - Common</v>
      </c>
      <c r="L39" s="5" t="s">
        <v>177</v>
      </c>
      <c r="M39" s="5" t="s">
        <v>21</v>
      </c>
      <c r="N39" s="4" t="str">
        <f aca="false">IF(H39&gt;=6,"High",IF(H39&gt;=3,"Medium","Low"))</f>
        <v>Medium</v>
      </c>
      <c r="O39" s="5"/>
    </row>
    <row r="40" customFormat="false" ht="46.25" hidden="false" customHeight="false" outlineLevel="0" collapsed="false">
      <c r="A40" s="2" t="n">
        <f aca="false">RANK(J40,$J$2:$J$101)+COUNTIF($J$2:J40,J40)-1</f>
        <v>39</v>
      </c>
      <c r="B40" s="3" t="s">
        <v>178</v>
      </c>
      <c r="C40" s="3" t="s">
        <v>23</v>
      </c>
      <c r="D40" s="3" t="s">
        <v>179</v>
      </c>
      <c r="E40" s="2" t="n">
        <v>45</v>
      </c>
      <c r="F40" s="3" t="s">
        <v>25</v>
      </c>
      <c r="G40" s="3" t="s">
        <v>180</v>
      </c>
      <c r="H40" s="2" t="n">
        <f aca="false">SUMPRODUCT(--(COUNTIFS(Evidence!$A$2:$A$680,B40,Evidence!$B$2:$B$680,{"A","B","C","D","E","F","G","H","I"})&gt;0))</f>
        <v>4</v>
      </c>
      <c r="I40" s="2" t="n">
        <f aca="false">COUNTIF(Evidence!$A$2:$A$680,B40)</f>
        <v>10</v>
      </c>
      <c r="J40" s="2" t="n">
        <f aca="false">H40*'Method &amp; Notes'!$B$4+MIN(I40,'Method &amp; Notes'!$B$6)*'Method &amp; Notes'!$B$5</f>
        <v>48</v>
      </c>
      <c r="K40" s="2" t="str">
        <f aca="false">IF(J40&gt;='Method &amp; Notes'!$B$7,"A - Core",IF(J40&gt;='Method &amp; Notes'!$B$8,"B - Common","C - Frequent"))</f>
        <v>B - Common</v>
      </c>
      <c r="L40" s="3" t="s">
        <v>181</v>
      </c>
      <c r="M40" s="3" t="s">
        <v>21</v>
      </c>
      <c r="N40" s="2" t="str">
        <f aca="false">IF(H40&gt;=6,"High",IF(H40&gt;=3,"Medium","Low"))</f>
        <v>Medium</v>
      </c>
      <c r="O40" s="3"/>
    </row>
    <row r="41" customFormat="false" ht="35.05" hidden="false" customHeight="false" outlineLevel="0" collapsed="false">
      <c r="A41" s="4" t="n">
        <f aca="false">RANK(J41,$J$2:$J$101)+COUNTIF($J$2:J41,J41)-1</f>
        <v>40</v>
      </c>
      <c r="B41" s="5" t="s">
        <v>182</v>
      </c>
      <c r="C41" s="5" t="s">
        <v>183</v>
      </c>
      <c r="D41" s="5" t="s">
        <v>184</v>
      </c>
      <c r="E41" s="4" t="n">
        <v>90</v>
      </c>
      <c r="F41" s="5" t="s">
        <v>25</v>
      </c>
      <c r="G41" s="5" t="s">
        <v>185</v>
      </c>
      <c r="H41" s="4" t="n">
        <f aca="false">SUMPRODUCT(--(COUNTIFS(Evidence!$A$2:$A$680,B41,Evidence!$B$2:$B$680,{"A","B","C","D","E","F","G","H","I"})&gt;0))</f>
        <v>4</v>
      </c>
      <c r="I41" s="4" t="n">
        <f aca="false">COUNTIF(Evidence!$A$2:$A$680,B41)</f>
        <v>10</v>
      </c>
      <c r="J41" s="4" t="n">
        <f aca="false">H41*'Method &amp; Notes'!$B$4+MIN(I41,'Method &amp; Notes'!$B$6)*'Method &amp; Notes'!$B$5</f>
        <v>48</v>
      </c>
      <c r="K41" s="4" t="str">
        <f aca="false">IF(J41&gt;='Method &amp; Notes'!$B$7,"A - Core",IF(J41&gt;='Method &amp; Notes'!$B$8,"B - Common","C - Frequent"))</f>
        <v>B - Common</v>
      </c>
      <c r="L41" s="5" t="s">
        <v>186</v>
      </c>
      <c r="M41" s="5" t="s">
        <v>21</v>
      </c>
      <c r="N41" s="4" t="str">
        <f aca="false">IF(H41&gt;=6,"High",IF(H41&gt;=3,"Medium","Low"))</f>
        <v>Medium</v>
      </c>
      <c r="O41" s="5"/>
    </row>
    <row r="42" customFormat="false" ht="57.45" hidden="false" customHeight="false" outlineLevel="0" collapsed="false">
      <c r="A42" s="2" t="n">
        <f aca="false">RANK(J42,$J$2:$J$101)+COUNTIF($J$2:J42,J42)-1</f>
        <v>41</v>
      </c>
      <c r="B42" s="3" t="s">
        <v>187</v>
      </c>
      <c r="C42" s="3" t="s">
        <v>183</v>
      </c>
      <c r="D42" s="3" t="s">
        <v>188</v>
      </c>
      <c r="E42" s="2" t="n">
        <v>90</v>
      </c>
      <c r="F42" s="3" t="s">
        <v>18</v>
      </c>
      <c r="G42" s="3" t="s">
        <v>189</v>
      </c>
      <c r="H42" s="2" t="n">
        <f aca="false">SUMPRODUCT(--(COUNTIFS(Evidence!$A$2:$A$680,B42,Evidence!$B$2:$B$680,{"A","B","C","D","E","F","G","H","I"})&gt;0))</f>
        <v>4</v>
      </c>
      <c r="I42" s="2" t="n">
        <f aca="false">COUNTIF(Evidence!$A$2:$A$680,B42)</f>
        <v>8</v>
      </c>
      <c r="J42" s="2" t="n">
        <f aca="false">H42*'Method &amp; Notes'!$B$4+MIN(I42,'Method &amp; Notes'!$B$6)*'Method &amp; Notes'!$B$5</f>
        <v>48</v>
      </c>
      <c r="K42" s="2" t="str">
        <f aca="false">IF(J42&gt;='Method &amp; Notes'!$B$7,"A - Core",IF(J42&gt;='Method &amp; Notes'!$B$8,"B - Common","C - Frequent"))</f>
        <v>B - Common</v>
      </c>
      <c r="L42" s="3" t="s">
        <v>190</v>
      </c>
      <c r="M42" s="3" t="s">
        <v>21</v>
      </c>
      <c r="N42" s="2" t="str">
        <f aca="false">IF(H42&gt;=6,"High",IF(H42&gt;=3,"Medium","Low"))</f>
        <v>Medium</v>
      </c>
      <c r="O42" s="3"/>
    </row>
    <row r="43" customFormat="false" ht="35.05" hidden="false" customHeight="false" outlineLevel="0" collapsed="false">
      <c r="A43" s="4" t="n">
        <f aca="false">RANK(J43,$J$2:$J$101)+COUNTIF($J$2:J43,J43)-1</f>
        <v>42</v>
      </c>
      <c r="B43" s="5" t="s">
        <v>191</v>
      </c>
      <c r="C43" s="5" t="s">
        <v>23</v>
      </c>
      <c r="D43" s="5" t="s">
        <v>192</v>
      </c>
      <c r="E43" s="4" t="n">
        <v>90</v>
      </c>
      <c r="F43" s="5" t="s">
        <v>25</v>
      </c>
      <c r="G43" s="5" t="s">
        <v>193</v>
      </c>
      <c r="H43" s="4" t="n">
        <f aca="false">SUMPRODUCT(--(COUNTIFS(Evidence!$A$2:$A$680,B43,Evidence!$B$2:$B$680,{"A","B","C","D","E","F","G","H","I"})&gt;0))</f>
        <v>4</v>
      </c>
      <c r="I43" s="4" t="n">
        <f aca="false">COUNTIF(Evidence!$A$2:$A$680,B43)</f>
        <v>7</v>
      </c>
      <c r="J43" s="4" t="n">
        <f aca="false">H43*'Method &amp; Notes'!$B$4+MIN(I43,'Method &amp; Notes'!$B$6)*'Method &amp; Notes'!$B$5</f>
        <v>47</v>
      </c>
      <c r="K43" s="4" t="str">
        <f aca="false">IF(J43&gt;='Method &amp; Notes'!$B$7,"A - Core",IF(J43&gt;='Method &amp; Notes'!$B$8,"B - Common","C - Frequent"))</f>
        <v>B - Common</v>
      </c>
      <c r="L43" s="5" t="s">
        <v>194</v>
      </c>
      <c r="M43" s="5" t="s">
        <v>21</v>
      </c>
      <c r="N43" s="4" t="str">
        <f aca="false">IF(H43&gt;=6,"High",IF(H43&gt;=3,"Medium","Low"))</f>
        <v>Medium</v>
      </c>
      <c r="O43" s="5"/>
    </row>
    <row r="44" customFormat="false" ht="35.05" hidden="false" customHeight="false" outlineLevel="0" collapsed="false">
      <c r="A44" s="2" t="n">
        <f aca="false">RANK(J44,$J$2:$J$101)+COUNTIF($J$2:J44,J44)-1</f>
        <v>43</v>
      </c>
      <c r="B44" s="3" t="s">
        <v>195</v>
      </c>
      <c r="C44" s="3" t="s">
        <v>132</v>
      </c>
      <c r="D44" s="3" t="s">
        <v>196</v>
      </c>
      <c r="E44" s="2" t="n">
        <v>45</v>
      </c>
      <c r="F44" s="3" t="s">
        <v>50</v>
      </c>
      <c r="G44" s="3" t="s">
        <v>161</v>
      </c>
      <c r="H44" s="2" t="n">
        <f aca="false">SUMPRODUCT(--(COUNTIFS(Evidence!$A$2:$A$680,B44,Evidence!$B$2:$B$680,{"A","B","C","D","E","F","G","H","I"})&gt;0))</f>
        <v>4</v>
      </c>
      <c r="I44" s="2" t="n">
        <f aca="false">COUNTIF(Evidence!$A$2:$A$680,B44)</f>
        <v>7</v>
      </c>
      <c r="J44" s="2" t="n">
        <f aca="false">H44*'Method &amp; Notes'!$B$4+MIN(I44,'Method &amp; Notes'!$B$6)*'Method &amp; Notes'!$B$5</f>
        <v>47</v>
      </c>
      <c r="K44" s="2" t="str">
        <f aca="false">IF(J44&gt;='Method &amp; Notes'!$B$7,"A - Core",IF(J44&gt;='Method &amp; Notes'!$B$8,"B - Common","C - Frequent"))</f>
        <v>B - Common</v>
      </c>
      <c r="L44" s="3" t="s">
        <v>197</v>
      </c>
      <c r="M44" s="3" t="s">
        <v>21</v>
      </c>
      <c r="N44" s="2" t="str">
        <f aca="false">IF(H44&gt;=6,"High",IF(H44&gt;=3,"Medium","Low"))</f>
        <v>Medium</v>
      </c>
      <c r="O44" s="3"/>
    </row>
    <row r="45" customFormat="false" ht="35.05" hidden="false" customHeight="false" outlineLevel="0" collapsed="false">
      <c r="A45" s="4" t="n">
        <f aca="false">RANK(J45,$J$2:$J$101)+COUNTIF($J$2:J45,J45)-1</f>
        <v>44</v>
      </c>
      <c r="B45" s="5" t="s">
        <v>198</v>
      </c>
      <c r="C45" s="5" t="s">
        <v>16</v>
      </c>
      <c r="D45" s="5" t="s">
        <v>199</v>
      </c>
      <c r="E45" s="4" t="n">
        <v>150</v>
      </c>
      <c r="F45" s="5" t="s">
        <v>25</v>
      </c>
      <c r="G45" s="5" t="s">
        <v>71</v>
      </c>
      <c r="H45" s="4" t="n">
        <f aca="false">SUMPRODUCT(--(COUNTIFS(Evidence!$A$2:$A$680,B45,Evidence!$B$2:$B$680,{"A","B","C","D","E","F","G","H","I"})&gt;0))</f>
        <v>4</v>
      </c>
      <c r="I45" s="4" t="n">
        <f aca="false">COUNTIF(Evidence!$A$2:$A$680,B45)</f>
        <v>7</v>
      </c>
      <c r="J45" s="4" t="n">
        <f aca="false">H45*'Method &amp; Notes'!$B$4+MIN(I45,'Method &amp; Notes'!$B$6)*'Method &amp; Notes'!$B$5</f>
        <v>47</v>
      </c>
      <c r="K45" s="4" t="str">
        <f aca="false">IF(J45&gt;='Method &amp; Notes'!$B$7,"A - Core",IF(J45&gt;='Method &amp; Notes'!$B$8,"B - Common","C - Frequent"))</f>
        <v>B - Common</v>
      </c>
      <c r="L45" s="5" t="s">
        <v>200</v>
      </c>
      <c r="M45" s="5" t="s">
        <v>21</v>
      </c>
      <c r="N45" s="4" t="str">
        <f aca="false">IF(H45&gt;=6,"High",IF(H45&gt;=3,"Medium","Low"))</f>
        <v>Medium</v>
      </c>
      <c r="O45" s="5"/>
    </row>
    <row r="46" customFormat="false" ht="46.25" hidden="false" customHeight="false" outlineLevel="0" collapsed="false">
      <c r="A46" s="2" t="n">
        <f aca="false">RANK(J46,$J$2:$J$101)+COUNTIF($J$2:J46,J46)-1</f>
        <v>45</v>
      </c>
      <c r="B46" s="3" t="s">
        <v>201</v>
      </c>
      <c r="C46" s="3" t="s">
        <v>23</v>
      </c>
      <c r="D46" s="3" t="s">
        <v>202</v>
      </c>
      <c r="E46" s="2" t="n">
        <v>90</v>
      </c>
      <c r="F46" s="3" t="s">
        <v>25</v>
      </c>
      <c r="G46" s="3" t="s">
        <v>203</v>
      </c>
      <c r="H46" s="2" t="n">
        <f aca="false">SUMPRODUCT(--(COUNTIFS(Evidence!$A$2:$A$680,B46,Evidence!$B$2:$B$680,{"A","B","C","D","E","F","G","H","I"})&gt;0))</f>
        <v>4</v>
      </c>
      <c r="I46" s="2" t="n">
        <f aca="false">COUNTIF(Evidence!$A$2:$A$680,B46)</f>
        <v>6</v>
      </c>
      <c r="J46" s="2" t="n">
        <f aca="false">H46*'Method &amp; Notes'!$B$4+MIN(I46,'Method &amp; Notes'!$B$6)*'Method &amp; Notes'!$B$5</f>
        <v>46</v>
      </c>
      <c r="K46" s="2" t="str">
        <f aca="false">IF(J46&gt;='Method &amp; Notes'!$B$7,"A - Core",IF(J46&gt;='Method &amp; Notes'!$B$8,"B - Common","C - Frequent"))</f>
        <v>B - Common</v>
      </c>
      <c r="L46" s="3" t="s">
        <v>204</v>
      </c>
      <c r="M46" s="3" t="s">
        <v>21</v>
      </c>
      <c r="N46" s="2" t="str">
        <f aca="false">IF(H46&gt;=6,"High",IF(H46&gt;=3,"Medium","Low"))</f>
        <v>Medium</v>
      </c>
      <c r="O46" s="3"/>
    </row>
    <row r="47" customFormat="false" ht="35.05" hidden="false" customHeight="false" outlineLevel="0" collapsed="false">
      <c r="A47" s="4" t="n">
        <f aca="false">RANK(J47,$J$2:$J$101)+COUNTIF($J$2:J47,J47)-1</f>
        <v>46</v>
      </c>
      <c r="B47" s="5" t="s">
        <v>205</v>
      </c>
      <c r="C47" s="5" t="s">
        <v>53</v>
      </c>
      <c r="D47" s="5" t="s">
        <v>206</v>
      </c>
      <c r="E47" s="4" t="n">
        <v>45</v>
      </c>
      <c r="F47" s="5" t="s">
        <v>18</v>
      </c>
      <c r="G47" s="5" t="s">
        <v>41</v>
      </c>
      <c r="H47" s="4" t="n">
        <f aca="false">SUMPRODUCT(--(COUNTIFS(Evidence!$A$2:$A$680,B47,Evidence!$B$2:$B$680,{"A","B","C","D","E","F","G","H","I"})&gt;0))</f>
        <v>4</v>
      </c>
      <c r="I47" s="4" t="n">
        <f aca="false">COUNTIF(Evidence!$A$2:$A$680,B47)</f>
        <v>5</v>
      </c>
      <c r="J47" s="4" t="n">
        <f aca="false">H47*'Method &amp; Notes'!$B$4+MIN(I47,'Method &amp; Notes'!$B$6)*'Method &amp; Notes'!$B$5</f>
        <v>45</v>
      </c>
      <c r="K47" s="4" t="str">
        <f aca="false">IF(J47&gt;='Method &amp; Notes'!$B$7,"A - Core",IF(J47&gt;='Method &amp; Notes'!$B$8,"B - Common","C - Frequent"))</f>
        <v>B - Common</v>
      </c>
      <c r="L47" s="5" t="s">
        <v>207</v>
      </c>
      <c r="M47" s="5" t="s">
        <v>21</v>
      </c>
      <c r="N47" s="4" t="str">
        <f aca="false">IF(H47&gt;=6,"High",IF(H47&gt;=3,"Medium","Low"))</f>
        <v>Medium</v>
      </c>
      <c r="O47" s="5"/>
    </row>
    <row r="48" customFormat="false" ht="46.25" hidden="false" customHeight="false" outlineLevel="0" collapsed="false">
      <c r="A48" s="2" t="n">
        <f aca="false">RANK(J48,$J$2:$J$101)+COUNTIF($J$2:J48,J48)-1</f>
        <v>47</v>
      </c>
      <c r="B48" s="3" t="s">
        <v>208</v>
      </c>
      <c r="C48" s="3" t="s">
        <v>74</v>
      </c>
      <c r="D48" s="3" t="s">
        <v>209</v>
      </c>
      <c r="E48" s="2" t="n">
        <v>120</v>
      </c>
      <c r="F48" s="3" t="s">
        <v>25</v>
      </c>
      <c r="G48" s="3" t="s">
        <v>210</v>
      </c>
      <c r="H48" s="2" t="n">
        <f aca="false">SUMPRODUCT(--(COUNTIFS(Evidence!$A$2:$A$680,B48,Evidence!$B$2:$B$680,{"A","B","C","D","E","F","G","H","I"})&gt;0))</f>
        <v>4</v>
      </c>
      <c r="I48" s="2" t="n">
        <f aca="false">COUNTIF(Evidence!$A$2:$A$680,B48)</f>
        <v>5</v>
      </c>
      <c r="J48" s="2" t="n">
        <f aca="false">H48*'Method &amp; Notes'!$B$4+MIN(I48,'Method &amp; Notes'!$B$6)*'Method &amp; Notes'!$B$5</f>
        <v>45</v>
      </c>
      <c r="K48" s="2" t="str">
        <f aca="false">IF(J48&gt;='Method &amp; Notes'!$B$7,"A - Core",IF(J48&gt;='Method &amp; Notes'!$B$8,"B - Common","C - Frequent"))</f>
        <v>B - Common</v>
      </c>
      <c r="L48" s="3" t="s">
        <v>211</v>
      </c>
      <c r="M48" s="3" t="s">
        <v>21</v>
      </c>
      <c r="N48" s="2" t="str">
        <f aca="false">IF(H48&gt;=6,"High",IF(H48&gt;=3,"Medium","Low"))</f>
        <v>Medium</v>
      </c>
      <c r="O48" s="3"/>
    </row>
    <row r="49" customFormat="false" ht="35.05" hidden="false" customHeight="false" outlineLevel="0" collapsed="false">
      <c r="A49" s="4" t="n">
        <f aca="false">RANK(J49,$J$2:$J$101)+COUNTIF($J$2:J49,J49)-1</f>
        <v>48</v>
      </c>
      <c r="B49" s="5" t="s">
        <v>212</v>
      </c>
      <c r="C49" s="5" t="s">
        <v>115</v>
      </c>
      <c r="D49" s="5" t="s">
        <v>213</v>
      </c>
      <c r="E49" s="4" t="n">
        <v>60</v>
      </c>
      <c r="F49" s="5" t="s">
        <v>25</v>
      </c>
      <c r="G49" s="5" t="s">
        <v>214</v>
      </c>
      <c r="H49" s="4" t="n">
        <f aca="false">SUMPRODUCT(--(COUNTIFS(Evidence!$A$2:$A$680,B49,Evidence!$B$2:$B$680,{"A","B","C","D","E","F","G","H","I"})&gt;0))</f>
        <v>3</v>
      </c>
      <c r="I49" s="4" t="n">
        <f aca="false">COUNTIF(Evidence!$A$2:$A$680,B49)</f>
        <v>10</v>
      </c>
      <c r="J49" s="4" t="n">
        <f aca="false">H49*'Method &amp; Notes'!$B$4+MIN(I49,'Method &amp; Notes'!$B$6)*'Method &amp; Notes'!$B$5</f>
        <v>38</v>
      </c>
      <c r="K49" s="4" t="str">
        <f aca="false">IF(J49&gt;='Method &amp; Notes'!$B$7,"A - Core",IF(J49&gt;='Method &amp; Notes'!$B$8,"B - Common","C - Frequent"))</f>
        <v>C - Frequent</v>
      </c>
      <c r="L49" s="5" t="s">
        <v>215</v>
      </c>
      <c r="M49" s="5" t="s">
        <v>216</v>
      </c>
      <c r="N49" s="4" t="str">
        <f aca="false">IF(H49&gt;=6,"High",IF(H49&gt;=3,"Medium","Low"))</f>
        <v>Medium</v>
      </c>
      <c r="O49" s="5"/>
    </row>
    <row r="50" customFormat="false" ht="46.25" hidden="false" customHeight="false" outlineLevel="0" collapsed="false">
      <c r="A50" s="2" t="n">
        <f aca="false">RANK(J50,$J$2:$J$101)+COUNTIF($J$2:J50,J50)-1</f>
        <v>49</v>
      </c>
      <c r="B50" s="3" t="s">
        <v>217</v>
      </c>
      <c r="C50" s="3" t="s">
        <v>183</v>
      </c>
      <c r="D50" s="3" t="s">
        <v>218</v>
      </c>
      <c r="E50" s="2" t="n">
        <v>45</v>
      </c>
      <c r="F50" s="3" t="s">
        <v>18</v>
      </c>
      <c r="G50" s="3" t="s">
        <v>219</v>
      </c>
      <c r="H50" s="2" t="n">
        <f aca="false">SUMPRODUCT(--(COUNTIFS(Evidence!$A$2:$A$680,B50,Evidence!$B$2:$B$680,{"A","B","C","D","E","F","G","H","I"})&gt;0))</f>
        <v>3</v>
      </c>
      <c r="I50" s="2" t="n">
        <f aca="false">COUNTIF(Evidence!$A$2:$A$680,B50)</f>
        <v>10</v>
      </c>
      <c r="J50" s="2" t="n">
        <f aca="false">H50*'Method &amp; Notes'!$B$4+MIN(I50,'Method &amp; Notes'!$B$6)*'Method &amp; Notes'!$B$5</f>
        <v>38</v>
      </c>
      <c r="K50" s="2" t="str">
        <f aca="false">IF(J50&gt;='Method &amp; Notes'!$B$7,"A - Core",IF(J50&gt;='Method &amp; Notes'!$B$8,"B - Common","C - Frequent"))</f>
        <v>C - Frequent</v>
      </c>
      <c r="L50" s="3" t="s">
        <v>220</v>
      </c>
      <c r="M50" s="3" t="s">
        <v>21</v>
      </c>
      <c r="N50" s="2" t="str">
        <f aca="false">IF(H50&gt;=6,"High",IF(H50&gt;=3,"Medium","Low"))</f>
        <v>Medium</v>
      </c>
      <c r="O50" s="3"/>
    </row>
    <row r="51" customFormat="false" ht="35.05" hidden="false" customHeight="false" outlineLevel="0" collapsed="false">
      <c r="A51" s="4" t="n">
        <f aca="false">RANK(J51,$J$2:$J$101)+COUNTIF($J$2:J51,J51)-1</f>
        <v>50</v>
      </c>
      <c r="B51" s="5" t="s">
        <v>221</v>
      </c>
      <c r="C51" s="5" t="s">
        <v>34</v>
      </c>
      <c r="D51" s="5" t="s">
        <v>222</v>
      </c>
      <c r="E51" s="4" t="n">
        <v>30</v>
      </c>
      <c r="F51" s="5" t="s">
        <v>25</v>
      </c>
      <c r="G51" s="5" t="s">
        <v>223</v>
      </c>
      <c r="H51" s="4" t="n">
        <f aca="false">SUMPRODUCT(--(COUNTIFS(Evidence!$A$2:$A$680,B51,Evidence!$B$2:$B$680,{"A","B","C","D","E","F","G","H","I"})&gt;0))</f>
        <v>3</v>
      </c>
      <c r="I51" s="4" t="n">
        <f aca="false">COUNTIF(Evidence!$A$2:$A$680,B51)</f>
        <v>6</v>
      </c>
      <c r="J51" s="4" t="n">
        <f aca="false">H51*'Method &amp; Notes'!$B$4+MIN(I51,'Method &amp; Notes'!$B$6)*'Method &amp; Notes'!$B$5</f>
        <v>36</v>
      </c>
      <c r="K51" s="4" t="str">
        <f aca="false">IF(J51&gt;='Method &amp; Notes'!$B$7,"A - Core",IF(J51&gt;='Method &amp; Notes'!$B$8,"B - Common","C - Frequent"))</f>
        <v>C - Frequent</v>
      </c>
      <c r="L51" s="5" t="s">
        <v>224</v>
      </c>
      <c r="M51" s="5" t="s">
        <v>221</v>
      </c>
      <c r="N51" s="4" t="str">
        <f aca="false">IF(H51&gt;=6,"High",IF(H51&gt;=3,"Medium","Low"))</f>
        <v>Medium</v>
      </c>
      <c r="O51" s="5"/>
    </row>
    <row r="52" customFormat="false" ht="23.85" hidden="false" customHeight="false" outlineLevel="0" collapsed="false">
      <c r="A52" s="2" t="n">
        <f aca="false">RANK(J52,$J$2:$J$101)+COUNTIF($J$2:J52,J52)-1</f>
        <v>51</v>
      </c>
      <c r="B52" s="3" t="s">
        <v>225</v>
      </c>
      <c r="C52" s="3" t="s">
        <v>115</v>
      </c>
      <c r="D52" s="3" t="s">
        <v>226</v>
      </c>
      <c r="E52" s="2" t="n">
        <v>120</v>
      </c>
      <c r="F52" s="3" t="s">
        <v>25</v>
      </c>
      <c r="G52" s="3" t="s">
        <v>41</v>
      </c>
      <c r="H52" s="2" t="n">
        <f aca="false">SUMPRODUCT(--(COUNTIFS(Evidence!$A$2:$A$680,B52,Evidence!$B$2:$B$680,{"A","B","C","D","E","F","G","H","I"})&gt;0))</f>
        <v>3</v>
      </c>
      <c r="I52" s="2" t="n">
        <f aca="false">COUNTIF(Evidence!$A$2:$A$680,B52)</f>
        <v>6</v>
      </c>
      <c r="J52" s="2" t="n">
        <f aca="false">H52*'Method &amp; Notes'!$B$4+MIN(I52,'Method &amp; Notes'!$B$6)*'Method &amp; Notes'!$B$5</f>
        <v>36</v>
      </c>
      <c r="K52" s="2" t="str">
        <f aca="false">IF(J52&gt;='Method &amp; Notes'!$B$7,"A - Core",IF(J52&gt;='Method &amp; Notes'!$B$8,"B - Common","C - Frequent"))</f>
        <v>C - Frequent</v>
      </c>
      <c r="L52" s="3" t="s">
        <v>227</v>
      </c>
      <c r="M52" s="3" t="s">
        <v>21</v>
      </c>
      <c r="N52" s="2" t="str">
        <f aca="false">IF(H52&gt;=6,"High",IF(H52&gt;=3,"Medium","Low"))</f>
        <v>Medium</v>
      </c>
      <c r="O52" s="3"/>
    </row>
    <row r="53" customFormat="false" ht="35.05" hidden="false" customHeight="false" outlineLevel="0" collapsed="false">
      <c r="A53" s="4" t="n">
        <f aca="false">RANK(J53,$J$2:$J$101)+COUNTIF($J$2:J53,J53)-1</f>
        <v>52</v>
      </c>
      <c r="B53" s="5" t="s">
        <v>228</v>
      </c>
      <c r="C53" s="5" t="s">
        <v>183</v>
      </c>
      <c r="D53" s="5" t="s">
        <v>229</v>
      </c>
      <c r="E53" s="4" t="n">
        <v>120</v>
      </c>
      <c r="F53" s="5" t="s">
        <v>25</v>
      </c>
      <c r="G53" s="5" t="s">
        <v>230</v>
      </c>
      <c r="H53" s="4" t="n">
        <f aca="false">SUMPRODUCT(--(COUNTIFS(Evidence!$A$2:$A$680,B53,Evidence!$B$2:$B$680,{"A","B","C","D","E","F","G","H","I"})&gt;0))</f>
        <v>3</v>
      </c>
      <c r="I53" s="4" t="n">
        <f aca="false">COUNTIF(Evidence!$A$2:$A$680,B53)</f>
        <v>6</v>
      </c>
      <c r="J53" s="4" t="n">
        <f aca="false">H53*'Method &amp; Notes'!$B$4+MIN(I53,'Method &amp; Notes'!$B$6)*'Method &amp; Notes'!$B$5</f>
        <v>36</v>
      </c>
      <c r="K53" s="4" t="str">
        <f aca="false">IF(J53&gt;='Method &amp; Notes'!$B$7,"A - Core",IF(J53&gt;='Method &amp; Notes'!$B$8,"B - Common","C - Frequent"))</f>
        <v>C - Frequent</v>
      </c>
      <c r="L53" s="5" t="s">
        <v>231</v>
      </c>
      <c r="M53" s="5" t="s">
        <v>21</v>
      </c>
      <c r="N53" s="4" t="str">
        <f aca="false">IF(H53&gt;=6,"High",IF(H53&gt;=3,"Medium","Low"))</f>
        <v>Medium</v>
      </c>
      <c r="O53" s="5"/>
    </row>
    <row r="54" customFormat="false" ht="46.25" hidden="false" customHeight="false" outlineLevel="0" collapsed="false">
      <c r="A54" s="2" t="n">
        <f aca="false">RANK(J54,$J$2:$J$101)+COUNTIF($J$2:J54,J54)-1</f>
        <v>53</v>
      </c>
      <c r="B54" s="3" t="s">
        <v>232</v>
      </c>
      <c r="C54" s="3" t="s">
        <v>16</v>
      </c>
      <c r="D54" s="3" t="s">
        <v>233</v>
      </c>
      <c r="E54" s="2" t="n">
        <v>90</v>
      </c>
      <c r="F54" s="3" t="s">
        <v>18</v>
      </c>
      <c r="G54" s="3" t="s">
        <v>234</v>
      </c>
      <c r="H54" s="2" t="n">
        <f aca="false">SUMPRODUCT(--(COUNTIFS(Evidence!$A$2:$A$680,B54,Evidence!$B$2:$B$680,{"A","B","C","D","E","F","G","H","I"})&gt;0))</f>
        <v>3</v>
      </c>
      <c r="I54" s="2" t="n">
        <f aca="false">COUNTIF(Evidence!$A$2:$A$680,B54)</f>
        <v>6</v>
      </c>
      <c r="J54" s="2" t="n">
        <f aca="false">H54*'Method &amp; Notes'!$B$4+MIN(I54,'Method &amp; Notes'!$B$6)*'Method &amp; Notes'!$B$5</f>
        <v>36</v>
      </c>
      <c r="K54" s="2" t="str">
        <f aca="false">IF(J54&gt;='Method &amp; Notes'!$B$7,"A - Core",IF(J54&gt;='Method &amp; Notes'!$B$8,"B - Common","C - Frequent"))</f>
        <v>C - Frequent</v>
      </c>
      <c r="L54" s="3" t="s">
        <v>235</v>
      </c>
      <c r="M54" s="3" t="s">
        <v>21</v>
      </c>
      <c r="N54" s="2" t="str">
        <f aca="false">IF(H54&gt;=6,"High",IF(H54&gt;=3,"Medium","Low"))</f>
        <v>Medium</v>
      </c>
      <c r="O54" s="3"/>
    </row>
    <row r="55" customFormat="false" ht="46.25" hidden="false" customHeight="false" outlineLevel="0" collapsed="false">
      <c r="A55" s="4" t="n">
        <f aca="false">RANK(J55,$J$2:$J$101)+COUNTIF($J$2:J55,J55)-1</f>
        <v>54</v>
      </c>
      <c r="B55" s="5" t="s">
        <v>236</v>
      </c>
      <c r="C55" s="5" t="s">
        <v>16</v>
      </c>
      <c r="D55" s="5" t="s">
        <v>237</v>
      </c>
      <c r="E55" s="4" t="n">
        <v>120</v>
      </c>
      <c r="F55" s="5" t="s">
        <v>25</v>
      </c>
      <c r="G55" s="5" t="s">
        <v>238</v>
      </c>
      <c r="H55" s="4" t="n">
        <f aca="false">SUMPRODUCT(--(COUNTIFS(Evidence!$A$2:$A$680,B55,Evidence!$B$2:$B$680,{"A","B","C","D","E","F","G","H","I"})&gt;0))</f>
        <v>3</v>
      </c>
      <c r="I55" s="4" t="n">
        <f aca="false">COUNTIF(Evidence!$A$2:$A$680,B55)</f>
        <v>5</v>
      </c>
      <c r="J55" s="4" t="n">
        <f aca="false">H55*'Method &amp; Notes'!$B$4+MIN(I55,'Method &amp; Notes'!$B$6)*'Method &amp; Notes'!$B$5</f>
        <v>35</v>
      </c>
      <c r="K55" s="4" t="str">
        <f aca="false">IF(J55&gt;='Method &amp; Notes'!$B$7,"A - Core",IF(J55&gt;='Method &amp; Notes'!$B$8,"B - Common","C - Frequent"))</f>
        <v>C - Frequent</v>
      </c>
      <c r="L55" s="5" t="s">
        <v>239</v>
      </c>
      <c r="M55" s="5" t="s">
        <v>21</v>
      </c>
      <c r="N55" s="4" t="str">
        <f aca="false">IF(H55&gt;=6,"High",IF(H55&gt;=3,"Medium","Low"))</f>
        <v>Medium</v>
      </c>
      <c r="O55" s="5"/>
    </row>
    <row r="56" customFormat="false" ht="35.05" hidden="false" customHeight="false" outlineLevel="0" collapsed="false">
      <c r="A56" s="2" t="n">
        <f aca="false">RANK(J56,$J$2:$J$101)+COUNTIF($J$2:J56,J56)-1</f>
        <v>55</v>
      </c>
      <c r="B56" s="3" t="s">
        <v>240</v>
      </c>
      <c r="C56" s="3" t="s">
        <v>53</v>
      </c>
      <c r="D56" s="3" t="s">
        <v>241</v>
      </c>
      <c r="E56" s="2" t="n">
        <v>30</v>
      </c>
      <c r="F56" s="3" t="s">
        <v>50</v>
      </c>
      <c r="G56" s="3" t="s">
        <v>41</v>
      </c>
      <c r="H56" s="2" t="n">
        <f aca="false">SUMPRODUCT(--(COUNTIFS(Evidence!$A$2:$A$680,B56,Evidence!$B$2:$B$680,{"A","B","C","D","E","F","G","H","I"})&gt;0))</f>
        <v>3</v>
      </c>
      <c r="I56" s="2" t="n">
        <f aca="false">COUNTIF(Evidence!$A$2:$A$680,B56)</f>
        <v>5</v>
      </c>
      <c r="J56" s="2" t="n">
        <f aca="false">H56*'Method &amp; Notes'!$B$4+MIN(I56,'Method &amp; Notes'!$B$6)*'Method &amp; Notes'!$B$5</f>
        <v>35</v>
      </c>
      <c r="K56" s="2" t="str">
        <f aca="false">IF(J56&gt;='Method &amp; Notes'!$B$7,"A - Core",IF(J56&gt;='Method &amp; Notes'!$B$8,"B - Common","C - Frequent"))</f>
        <v>C - Frequent</v>
      </c>
      <c r="L56" s="3" t="s">
        <v>242</v>
      </c>
      <c r="M56" s="3" t="s">
        <v>21</v>
      </c>
      <c r="N56" s="2" t="str">
        <f aca="false">IF(H56&gt;=6,"High",IF(H56&gt;=3,"Medium","Low"))</f>
        <v>Medium</v>
      </c>
      <c r="O56" s="3"/>
    </row>
    <row r="57" customFormat="false" ht="35.05" hidden="false" customHeight="false" outlineLevel="0" collapsed="false">
      <c r="A57" s="4" t="n">
        <f aca="false">RANK(J57,$J$2:$J$101)+COUNTIF($J$2:J57,J57)-1</f>
        <v>56</v>
      </c>
      <c r="B57" s="5" t="s">
        <v>243</v>
      </c>
      <c r="C57" s="5" t="s">
        <v>48</v>
      </c>
      <c r="D57" s="5" t="s">
        <v>244</v>
      </c>
      <c r="E57" s="4" t="n">
        <v>30</v>
      </c>
      <c r="F57" s="5" t="s">
        <v>18</v>
      </c>
      <c r="G57" s="5" t="s">
        <v>245</v>
      </c>
      <c r="H57" s="4" t="n">
        <f aca="false">SUMPRODUCT(--(COUNTIFS(Evidence!$A$2:$A$680,B57,Evidence!$B$2:$B$680,{"A","B","C","D","E","F","G","H","I"})&gt;0))</f>
        <v>3</v>
      </c>
      <c r="I57" s="4" t="n">
        <f aca="false">COUNTIF(Evidence!$A$2:$A$680,B57)</f>
        <v>5</v>
      </c>
      <c r="J57" s="4" t="n">
        <f aca="false">H57*'Method &amp; Notes'!$B$4+MIN(I57,'Method &amp; Notes'!$B$6)*'Method &amp; Notes'!$B$5</f>
        <v>35</v>
      </c>
      <c r="K57" s="4" t="str">
        <f aca="false">IF(J57&gt;='Method &amp; Notes'!$B$7,"A - Core",IF(J57&gt;='Method &amp; Notes'!$B$8,"B - Common","C - Frequent"))</f>
        <v>C - Frequent</v>
      </c>
      <c r="L57" s="5" t="s">
        <v>246</v>
      </c>
      <c r="M57" s="5" t="s">
        <v>21</v>
      </c>
      <c r="N57" s="4" t="str">
        <f aca="false">IF(H57&gt;=6,"High",IF(H57&gt;=3,"Medium","Low"))</f>
        <v>Medium</v>
      </c>
      <c r="O57" s="5"/>
    </row>
    <row r="58" customFormat="false" ht="46.25" hidden="false" customHeight="false" outlineLevel="0" collapsed="false">
      <c r="A58" s="2" t="n">
        <f aca="false">RANK(J58,$J$2:$J$101)+COUNTIF($J$2:J58,J58)-1</f>
        <v>57</v>
      </c>
      <c r="B58" s="3" t="s">
        <v>247</v>
      </c>
      <c r="C58" s="3" t="s">
        <v>183</v>
      </c>
      <c r="D58" s="3" t="s">
        <v>248</v>
      </c>
      <c r="E58" s="2" t="n">
        <v>150</v>
      </c>
      <c r="F58" s="3" t="s">
        <v>25</v>
      </c>
      <c r="G58" s="3" t="s">
        <v>249</v>
      </c>
      <c r="H58" s="2" t="n">
        <f aca="false">SUMPRODUCT(--(COUNTIFS(Evidence!$A$2:$A$680,B58,Evidence!$B$2:$B$680,{"A","B","C","D","E","F","G","H","I"})&gt;0))</f>
        <v>3</v>
      </c>
      <c r="I58" s="2" t="n">
        <f aca="false">COUNTIF(Evidence!$A$2:$A$680,B58)</f>
        <v>4</v>
      </c>
      <c r="J58" s="2" t="n">
        <f aca="false">H58*'Method &amp; Notes'!$B$4+MIN(I58,'Method &amp; Notes'!$B$6)*'Method &amp; Notes'!$B$5</f>
        <v>34</v>
      </c>
      <c r="K58" s="2" t="str">
        <f aca="false">IF(J58&gt;='Method &amp; Notes'!$B$7,"A - Core",IF(J58&gt;='Method &amp; Notes'!$B$8,"B - Common","C - Frequent"))</f>
        <v>C - Frequent</v>
      </c>
      <c r="L58" s="3" t="s">
        <v>250</v>
      </c>
      <c r="M58" s="3" t="s">
        <v>21</v>
      </c>
      <c r="N58" s="2" t="str">
        <f aca="false">IF(H58&gt;=6,"High",IF(H58&gt;=3,"Medium","Low"))</f>
        <v>Medium</v>
      </c>
      <c r="O58" s="3"/>
    </row>
    <row r="59" customFormat="false" ht="35.05" hidden="false" customHeight="false" outlineLevel="0" collapsed="false">
      <c r="A59" s="4" t="n">
        <f aca="false">RANK(J59,$J$2:$J$101)+COUNTIF($J$2:J59,J59)-1</f>
        <v>58</v>
      </c>
      <c r="B59" s="5" t="s">
        <v>251</v>
      </c>
      <c r="C59" s="5" t="s">
        <v>53</v>
      </c>
      <c r="D59" s="5" t="s">
        <v>252</v>
      </c>
      <c r="E59" s="4" t="n">
        <v>60</v>
      </c>
      <c r="F59" s="5" t="s">
        <v>25</v>
      </c>
      <c r="G59" s="5" t="s">
        <v>41</v>
      </c>
      <c r="H59" s="4" t="n">
        <f aca="false">SUMPRODUCT(--(COUNTIFS(Evidence!$A$2:$A$680,B59,Evidence!$B$2:$B$680,{"A","B","C","D","E","F","G","H","I"})&gt;0))</f>
        <v>3</v>
      </c>
      <c r="I59" s="4" t="n">
        <f aca="false">COUNTIF(Evidence!$A$2:$A$680,B59)</f>
        <v>4</v>
      </c>
      <c r="J59" s="4" t="n">
        <f aca="false">H59*'Method &amp; Notes'!$B$4+MIN(I59,'Method &amp; Notes'!$B$6)*'Method &amp; Notes'!$B$5</f>
        <v>34</v>
      </c>
      <c r="K59" s="4" t="str">
        <f aca="false">IF(J59&gt;='Method &amp; Notes'!$B$7,"A - Core",IF(J59&gt;='Method &amp; Notes'!$B$8,"B - Common","C - Frequent"))</f>
        <v>C - Frequent</v>
      </c>
      <c r="L59" s="5" t="s">
        <v>253</v>
      </c>
      <c r="M59" s="5" t="s">
        <v>21</v>
      </c>
      <c r="N59" s="4" t="str">
        <f aca="false">IF(H59&gt;=6,"High",IF(H59&gt;=3,"Medium","Low"))</f>
        <v>Medium</v>
      </c>
      <c r="O59" s="5"/>
    </row>
    <row r="60" customFormat="false" ht="35.05" hidden="false" customHeight="false" outlineLevel="0" collapsed="false">
      <c r="A60" s="2" t="n">
        <f aca="false">RANK(J60,$J$2:$J$101)+COUNTIF($J$2:J60,J60)-1</f>
        <v>59</v>
      </c>
      <c r="B60" s="3" t="s">
        <v>254</v>
      </c>
      <c r="C60" s="3" t="s">
        <v>48</v>
      </c>
      <c r="D60" s="3" t="s">
        <v>255</v>
      </c>
      <c r="E60" s="2" t="n">
        <v>150</v>
      </c>
      <c r="F60" s="3" t="s">
        <v>25</v>
      </c>
      <c r="G60" s="3" t="s">
        <v>256</v>
      </c>
      <c r="H60" s="2" t="n">
        <f aca="false">SUMPRODUCT(--(COUNTIFS(Evidence!$A$2:$A$680,B60,Evidence!$B$2:$B$680,{"A","B","C","D","E","F","G","H","I"})&gt;0))</f>
        <v>3</v>
      </c>
      <c r="I60" s="2" t="n">
        <f aca="false">COUNTIF(Evidence!$A$2:$A$680,B60)</f>
        <v>4</v>
      </c>
      <c r="J60" s="2" t="n">
        <f aca="false">H60*'Method &amp; Notes'!$B$4+MIN(I60,'Method &amp; Notes'!$B$6)*'Method &amp; Notes'!$B$5</f>
        <v>34</v>
      </c>
      <c r="K60" s="2" t="str">
        <f aca="false">IF(J60&gt;='Method &amp; Notes'!$B$7,"A - Core",IF(J60&gt;='Method &amp; Notes'!$B$8,"B - Common","C - Frequent"))</f>
        <v>C - Frequent</v>
      </c>
      <c r="L60" s="3" t="s">
        <v>257</v>
      </c>
      <c r="M60" s="3" t="s">
        <v>21</v>
      </c>
      <c r="N60" s="2" t="str">
        <f aca="false">IF(H60&gt;=6,"High",IF(H60&gt;=3,"Medium","Low"))</f>
        <v>Medium</v>
      </c>
      <c r="O60" s="3"/>
    </row>
    <row r="61" customFormat="false" ht="35.05" hidden="false" customHeight="false" outlineLevel="0" collapsed="false">
      <c r="A61" s="4" t="n">
        <f aca="false">RANK(J61,$J$2:$J$101)+COUNTIF($J$2:J61,J61)-1</f>
        <v>60</v>
      </c>
      <c r="B61" s="5" t="s">
        <v>258</v>
      </c>
      <c r="C61" s="5" t="s">
        <v>115</v>
      </c>
      <c r="D61" s="5" t="s">
        <v>259</v>
      </c>
      <c r="E61" s="4" t="n">
        <v>30</v>
      </c>
      <c r="F61" s="5" t="s">
        <v>18</v>
      </c>
      <c r="G61" s="5" t="s">
        <v>260</v>
      </c>
      <c r="H61" s="4" t="n">
        <f aca="false">SUMPRODUCT(--(COUNTIFS(Evidence!$A$2:$A$680,B61,Evidence!$B$2:$B$680,{"A","B","C","D","E","F","G","H","I"})&gt;0))</f>
        <v>3</v>
      </c>
      <c r="I61" s="4" t="n">
        <f aca="false">COUNTIF(Evidence!$A$2:$A$680,B61)</f>
        <v>4</v>
      </c>
      <c r="J61" s="4" t="n">
        <f aca="false">H61*'Method &amp; Notes'!$B$4+MIN(I61,'Method &amp; Notes'!$B$6)*'Method &amp; Notes'!$B$5</f>
        <v>34</v>
      </c>
      <c r="K61" s="4" t="str">
        <f aca="false">IF(J61&gt;='Method &amp; Notes'!$B$7,"A - Core",IF(J61&gt;='Method &amp; Notes'!$B$8,"B - Common","C - Frequent"))</f>
        <v>C - Frequent</v>
      </c>
      <c r="L61" s="5" t="s">
        <v>261</v>
      </c>
      <c r="M61" s="5" t="s">
        <v>21</v>
      </c>
      <c r="N61" s="4" t="str">
        <f aca="false">IF(H61&gt;=6,"High",IF(H61&gt;=3,"Medium","Low"))</f>
        <v>Medium</v>
      </c>
      <c r="O61" s="5"/>
    </row>
    <row r="62" customFormat="false" ht="46.25" hidden="false" customHeight="false" outlineLevel="0" collapsed="false">
      <c r="A62" s="2" t="n">
        <f aca="false">RANK(J62,$J$2:$J$101)+COUNTIF($J$2:J62,J62)-1</f>
        <v>61</v>
      </c>
      <c r="B62" s="3" t="s">
        <v>262</v>
      </c>
      <c r="C62" s="3" t="s">
        <v>34</v>
      </c>
      <c r="D62" s="3" t="s">
        <v>263</v>
      </c>
      <c r="E62" s="2" t="n">
        <v>60</v>
      </c>
      <c r="F62" s="3" t="s">
        <v>18</v>
      </c>
      <c r="G62" s="3" t="s">
        <v>264</v>
      </c>
      <c r="H62" s="2" t="n">
        <f aca="false">SUMPRODUCT(--(COUNTIFS(Evidence!$A$2:$A$680,B62,Evidence!$B$2:$B$680,{"A","B","C","D","E","F","G","H","I"})&gt;0))</f>
        <v>3</v>
      </c>
      <c r="I62" s="2" t="n">
        <f aca="false">COUNTIF(Evidence!$A$2:$A$680,B62)</f>
        <v>4</v>
      </c>
      <c r="J62" s="2" t="n">
        <f aca="false">H62*'Method &amp; Notes'!$B$4+MIN(I62,'Method &amp; Notes'!$B$6)*'Method &amp; Notes'!$B$5</f>
        <v>34</v>
      </c>
      <c r="K62" s="2" t="str">
        <f aca="false">IF(J62&gt;='Method &amp; Notes'!$B$7,"A - Core",IF(J62&gt;='Method &amp; Notes'!$B$8,"B - Common","C - Frequent"))</f>
        <v>C - Frequent</v>
      </c>
      <c r="L62" s="3" t="s">
        <v>265</v>
      </c>
      <c r="M62" s="3" t="s">
        <v>21</v>
      </c>
      <c r="N62" s="2" t="str">
        <f aca="false">IF(H62&gt;=6,"High",IF(H62&gt;=3,"Medium","Low"))</f>
        <v>Medium</v>
      </c>
      <c r="O62" s="3"/>
    </row>
    <row r="63" customFormat="false" ht="35.05" hidden="false" customHeight="false" outlineLevel="0" collapsed="false">
      <c r="A63" s="4" t="n">
        <f aca="false">RANK(J63,$J$2:$J$101)+COUNTIF($J$2:J63,J63)-1</f>
        <v>62</v>
      </c>
      <c r="B63" s="5" t="s">
        <v>266</v>
      </c>
      <c r="C63" s="5" t="s">
        <v>53</v>
      </c>
      <c r="D63" s="5" t="s">
        <v>267</v>
      </c>
      <c r="E63" s="4" t="n">
        <v>75</v>
      </c>
      <c r="F63" s="5" t="s">
        <v>18</v>
      </c>
      <c r="G63" s="5" t="s">
        <v>268</v>
      </c>
      <c r="H63" s="4" t="n">
        <f aca="false">SUMPRODUCT(--(COUNTIFS(Evidence!$A$2:$A$680,B63,Evidence!$B$2:$B$680,{"A","B","C","D","E","F","G","H","I"})&gt;0))</f>
        <v>3</v>
      </c>
      <c r="I63" s="4" t="n">
        <f aca="false">COUNTIF(Evidence!$A$2:$A$680,B63)</f>
        <v>4</v>
      </c>
      <c r="J63" s="4" t="n">
        <f aca="false">H63*'Method &amp; Notes'!$B$4+MIN(I63,'Method &amp; Notes'!$B$6)*'Method &amp; Notes'!$B$5</f>
        <v>34</v>
      </c>
      <c r="K63" s="4" t="str">
        <f aca="false">IF(J63&gt;='Method &amp; Notes'!$B$7,"A - Core",IF(J63&gt;='Method &amp; Notes'!$B$8,"B - Common","C - Frequent"))</f>
        <v>C - Frequent</v>
      </c>
      <c r="L63" s="5" t="s">
        <v>269</v>
      </c>
      <c r="M63" s="5" t="s">
        <v>21</v>
      </c>
      <c r="N63" s="4" t="str">
        <f aca="false">IF(H63&gt;=6,"High",IF(H63&gt;=3,"Medium","Low"))</f>
        <v>Medium</v>
      </c>
      <c r="O63" s="5"/>
    </row>
    <row r="64" customFormat="false" ht="35.05" hidden="false" customHeight="false" outlineLevel="0" collapsed="false">
      <c r="A64" s="2" t="n">
        <f aca="false">RANK(J64,$J$2:$J$101)+COUNTIF($J$2:J64,J64)-1</f>
        <v>63</v>
      </c>
      <c r="B64" s="3" t="s">
        <v>270</v>
      </c>
      <c r="C64" s="3" t="s">
        <v>132</v>
      </c>
      <c r="D64" s="3" t="s">
        <v>271</v>
      </c>
      <c r="E64" s="2" t="n">
        <v>90</v>
      </c>
      <c r="F64" s="3" t="s">
        <v>25</v>
      </c>
      <c r="G64" s="3" t="s">
        <v>272</v>
      </c>
      <c r="H64" s="2" t="n">
        <f aca="false">SUMPRODUCT(--(COUNTIFS(Evidence!$A$2:$A$680,B64,Evidence!$B$2:$B$680,{"A","B","C","D","E","F","G","H","I"})&gt;0))</f>
        <v>3</v>
      </c>
      <c r="I64" s="2" t="n">
        <f aca="false">COUNTIF(Evidence!$A$2:$A$680,B64)</f>
        <v>4</v>
      </c>
      <c r="J64" s="2" t="n">
        <f aca="false">H64*'Method &amp; Notes'!$B$4+MIN(I64,'Method &amp; Notes'!$B$6)*'Method &amp; Notes'!$B$5</f>
        <v>34</v>
      </c>
      <c r="K64" s="2" t="str">
        <f aca="false">IF(J64&gt;='Method &amp; Notes'!$B$7,"A - Core",IF(J64&gt;='Method &amp; Notes'!$B$8,"B - Common","C - Frequent"))</f>
        <v>C - Frequent</v>
      </c>
      <c r="L64" s="3" t="s">
        <v>273</v>
      </c>
      <c r="M64" s="3" t="s">
        <v>21</v>
      </c>
      <c r="N64" s="2" t="str">
        <f aca="false">IF(H64&gt;=6,"High",IF(H64&gt;=3,"Medium","Low"))</f>
        <v>Medium</v>
      </c>
      <c r="O64" s="3"/>
    </row>
    <row r="65" customFormat="false" ht="35.05" hidden="false" customHeight="false" outlineLevel="0" collapsed="false">
      <c r="A65" s="4" t="n">
        <f aca="false">RANK(J65,$J$2:$J$101)+COUNTIF($J$2:J65,J65)-1</f>
        <v>64</v>
      </c>
      <c r="B65" s="5" t="s">
        <v>274</v>
      </c>
      <c r="C65" s="5" t="s">
        <v>74</v>
      </c>
      <c r="D65" s="5" t="s">
        <v>275</v>
      </c>
      <c r="E65" s="4" t="n">
        <v>120</v>
      </c>
      <c r="F65" s="5" t="s">
        <v>25</v>
      </c>
      <c r="G65" s="5" t="s">
        <v>41</v>
      </c>
      <c r="H65" s="4" t="n">
        <f aca="false">SUMPRODUCT(--(COUNTIFS(Evidence!$A$2:$A$680,B65,Evidence!$B$2:$B$680,{"A","B","C","D","E","F","G","H","I"})&gt;0))</f>
        <v>3</v>
      </c>
      <c r="I65" s="4" t="n">
        <f aca="false">COUNTIF(Evidence!$A$2:$A$680,B65)</f>
        <v>3</v>
      </c>
      <c r="J65" s="4" t="n">
        <f aca="false">H65*'Method &amp; Notes'!$B$4+MIN(I65,'Method &amp; Notes'!$B$6)*'Method &amp; Notes'!$B$5</f>
        <v>33</v>
      </c>
      <c r="K65" s="4" t="str">
        <f aca="false">IF(J65&gt;='Method &amp; Notes'!$B$7,"A - Core",IF(J65&gt;='Method &amp; Notes'!$B$8,"B - Common","C - Frequent"))</f>
        <v>C - Frequent</v>
      </c>
      <c r="L65" s="5" t="s">
        <v>276</v>
      </c>
      <c r="M65" s="5" t="s">
        <v>277</v>
      </c>
      <c r="N65" s="4" t="str">
        <f aca="false">IF(H65&gt;=6,"High",IF(H65&gt;=3,"Medium","Low"))</f>
        <v>Medium</v>
      </c>
      <c r="O65" s="5"/>
    </row>
    <row r="66" customFormat="false" ht="23.85" hidden="false" customHeight="false" outlineLevel="0" collapsed="false">
      <c r="A66" s="2" t="n">
        <f aca="false">RANK(J66,$J$2:$J$101)+COUNTIF($J$2:J66,J66)-1</f>
        <v>65</v>
      </c>
      <c r="B66" s="3" t="s">
        <v>105</v>
      </c>
      <c r="C66" s="3" t="s">
        <v>34</v>
      </c>
      <c r="D66" s="3" t="s">
        <v>278</v>
      </c>
      <c r="E66" s="2" t="n">
        <v>30</v>
      </c>
      <c r="F66" s="3" t="s">
        <v>25</v>
      </c>
      <c r="G66" s="3" t="s">
        <v>41</v>
      </c>
      <c r="H66" s="2" t="n">
        <f aca="false">SUMPRODUCT(--(COUNTIFS(Evidence!$A$2:$A$680,B66,Evidence!$B$2:$B$680,{"A","B","C","D","E","F","G","H","I"})&gt;0))</f>
        <v>3</v>
      </c>
      <c r="I66" s="2" t="n">
        <f aca="false">COUNTIF(Evidence!$A$2:$A$680,B66)</f>
        <v>3</v>
      </c>
      <c r="J66" s="2" t="n">
        <f aca="false">H66*'Method &amp; Notes'!$B$4+MIN(I66,'Method &amp; Notes'!$B$6)*'Method &amp; Notes'!$B$5</f>
        <v>33</v>
      </c>
      <c r="K66" s="2" t="str">
        <f aca="false">IF(J66&gt;='Method &amp; Notes'!$B$7,"A - Core",IF(J66&gt;='Method &amp; Notes'!$B$8,"B - Common","C - Frequent"))</f>
        <v>C - Frequent</v>
      </c>
      <c r="L66" s="3" t="s">
        <v>279</v>
      </c>
      <c r="M66" s="3" t="s">
        <v>105</v>
      </c>
      <c r="N66" s="2" t="str">
        <f aca="false">IF(H66&gt;=6,"High",IF(H66&gt;=3,"Medium","Low"))</f>
        <v>Medium</v>
      </c>
      <c r="O66" s="3"/>
    </row>
    <row r="67" customFormat="false" ht="23.85" hidden="false" customHeight="false" outlineLevel="0" collapsed="false">
      <c r="A67" s="4" t="n">
        <f aca="false">RANK(J67,$J$2:$J$101)+COUNTIF($J$2:J67,J67)-1</f>
        <v>66</v>
      </c>
      <c r="B67" s="5" t="s">
        <v>280</v>
      </c>
      <c r="C67" s="5" t="s">
        <v>83</v>
      </c>
      <c r="D67" s="5" t="s">
        <v>281</v>
      </c>
      <c r="E67" s="4" t="n">
        <v>60</v>
      </c>
      <c r="F67" s="5" t="s">
        <v>25</v>
      </c>
      <c r="G67" s="5" t="s">
        <v>41</v>
      </c>
      <c r="H67" s="4" t="n">
        <f aca="false">SUMPRODUCT(--(COUNTIFS(Evidence!$A$2:$A$680,B67,Evidence!$B$2:$B$680,{"A","B","C","D","E","F","G","H","I"})&gt;0))</f>
        <v>2</v>
      </c>
      <c r="I67" s="4" t="n">
        <f aca="false">COUNTIF(Evidence!$A$2:$A$680,B67)</f>
        <v>4</v>
      </c>
      <c r="J67" s="4" t="n">
        <f aca="false">H67*'Method &amp; Notes'!$B$4+MIN(I67,'Method &amp; Notes'!$B$6)*'Method &amp; Notes'!$B$5</f>
        <v>24</v>
      </c>
      <c r="K67" s="4" t="str">
        <f aca="false">IF(J67&gt;='Method &amp; Notes'!$B$7,"A - Core",IF(J67&gt;='Method &amp; Notes'!$B$8,"B - Common","C - Frequent"))</f>
        <v>C - Frequent</v>
      </c>
      <c r="L67" s="5" t="s">
        <v>282</v>
      </c>
      <c r="M67" s="5" t="s">
        <v>280</v>
      </c>
      <c r="N67" s="4" t="str">
        <f aca="false">IF(H67&gt;=6,"High",IF(H67&gt;=3,"Medium","Low"))</f>
        <v>Low</v>
      </c>
      <c r="O67" s="5"/>
    </row>
    <row r="68" customFormat="false" ht="23.85" hidden="false" customHeight="false" outlineLevel="0" collapsed="false">
      <c r="A68" s="2" t="n">
        <f aca="false">RANK(J68,$J$2:$J$101)+COUNTIF($J$2:J68,J68)-1</f>
        <v>67</v>
      </c>
      <c r="B68" s="3" t="s">
        <v>283</v>
      </c>
      <c r="C68" s="3" t="s">
        <v>74</v>
      </c>
      <c r="D68" s="3" t="s">
        <v>284</v>
      </c>
      <c r="E68" s="2" t="n">
        <v>45</v>
      </c>
      <c r="F68" s="3" t="s">
        <v>25</v>
      </c>
      <c r="G68" s="3" t="s">
        <v>41</v>
      </c>
      <c r="H68" s="2" t="n">
        <f aca="false">SUMPRODUCT(--(COUNTIFS(Evidence!$A$2:$A$680,B68,Evidence!$B$2:$B$680,{"A","B","C","D","E","F","G","H","I"})&gt;0))</f>
        <v>2</v>
      </c>
      <c r="I68" s="2" t="n">
        <f aca="false">COUNTIF(Evidence!$A$2:$A$680,B68)</f>
        <v>3</v>
      </c>
      <c r="J68" s="2" t="n">
        <f aca="false">H68*'Method &amp; Notes'!$B$4+MIN(I68,'Method &amp; Notes'!$B$6)*'Method &amp; Notes'!$B$5</f>
        <v>23</v>
      </c>
      <c r="K68" s="2" t="str">
        <f aca="false">IF(J68&gt;='Method &amp; Notes'!$B$7,"A - Core",IF(J68&gt;='Method &amp; Notes'!$B$8,"B - Common","C - Frequent"))</f>
        <v>C - Frequent</v>
      </c>
      <c r="L68" s="3" t="s">
        <v>285</v>
      </c>
      <c r="M68" s="3" t="s">
        <v>21</v>
      </c>
      <c r="N68" s="2" t="str">
        <f aca="false">IF(H68&gt;=6,"High",IF(H68&gt;=3,"Medium","Low"))</f>
        <v>Low</v>
      </c>
      <c r="O68" s="3"/>
    </row>
    <row r="69" customFormat="false" ht="35.05" hidden="false" customHeight="false" outlineLevel="0" collapsed="false">
      <c r="A69" s="4" t="n">
        <f aca="false">RANK(J69,$J$2:$J$101)+COUNTIF($J$2:J69,J69)-1</f>
        <v>68</v>
      </c>
      <c r="B69" s="5" t="s">
        <v>286</v>
      </c>
      <c r="C69" s="5" t="s">
        <v>74</v>
      </c>
      <c r="D69" s="5" t="s">
        <v>287</v>
      </c>
      <c r="E69" s="4" t="n">
        <v>60</v>
      </c>
      <c r="F69" s="5" t="s">
        <v>25</v>
      </c>
      <c r="G69" s="5" t="s">
        <v>288</v>
      </c>
      <c r="H69" s="4" t="n">
        <f aca="false">SUMPRODUCT(--(COUNTIFS(Evidence!$A$2:$A$680,B69,Evidence!$B$2:$B$680,{"A","B","C","D","E","F","G","H","I"})&gt;0))</f>
        <v>2</v>
      </c>
      <c r="I69" s="4" t="n">
        <f aca="false">COUNTIF(Evidence!$A$2:$A$680,B69)</f>
        <v>3</v>
      </c>
      <c r="J69" s="4" t="n">
        <f aca="false">H69*'Method &amp; Notes'!$B$4+MIN(I69,'Method &amp; Notes'!$B$6)*'Method &amp; Notes'!$B$5</f>
        <v>23</v>
      </c>
      <c r="K69" s="4" t="str">
        <f aca="false">IF(J69&gt;='Method &amp; Notes'!$B$7,"A - Core",IF(J69&gt;='Method &amp; Notes'!$B$8,"B - Common","C - Frequent"))</f>
        <v>C - Frequent</v>
      </c>
      <c r="L69" s="5" t="s">
        <v>289</v>
      </c>
      <c r="M69" s="5" t="s">
        <v>21</v>
      </c>
      <c r="N69" s="4" t="str">
        <f aca="false">IF(H69&gt;=6,"High",IF(H69&gt;=3,"Medium","Low"))</f>
        <v>Low</v>
      </c>
      <c r="O69" s="5"/>
    </row>
    <row r="70" customFormat="false" ht="46.25" hidden="false" customHeight="false" outlineLevel="0" collapsed="false">
      <c r="A70" s="2" t="n">
        <f aca="false">RANK(J70,$J$2:$J$101)+COUNTIF($J$2:J70,J70)-1</f>
        <v>69</v>
      </c>
      <c r="B70" s="3" t="s">
        <v>290</v>
      </c>
      <c r="C70" s="3" t="s">
        <v>53</v>
      </c>
      <c r="D70" s="3" t="s">
        <v>291</v>
      </c>
      <c r="E70" s="2" t="n">
        <v>90</v>
      </c>
      <c r="F70" s="3" t="s">
        <v>25</v>
      </c>
      <c r="G70" s="3" t="s">
        <v>292</v>
      </c>
      <c r="H70" s="2" t="n">
        <f aca="false">SUMPRODUCT(--(COUNTIFS(Evidence!$A$2:$A$680,B70,Evidence!$B$2:$B$680,{"A","B","C","D","E","F","G","H","I"})&gt;0))</f>
        <v>2</v>
      </c>
      <c r="I70" s="2" t="n">
        <f aca="false">COUNTIF(Evidence!$A$2:$A$680,B70)</f>
        <v>3</v>
      </c>
      <c r="J70" s="2" t="n">
        <f aca="false">H70*'Method &amp; Notes'!$B$4+MIN(I70,'Method &amp; Notes'!$B$6)*'Method &amp; Notes'!$B$5</f>
        <v>23</v>
      </c>
      <c r="K70" s="2" t="str">
        <f aca="false">IF(J70&gt;='Method &amp; Notes'!$B$7,"A - Core",IF(J70&gt;='Method &amp; Notes'!$B$8,"B - Common","C - Frequent"))</f>
        <v>C - Frequent</v>
      </c>
      <c r="L70" s="3" t="s">
        <v>293</v>
      </c>
      <c r="M70" s="3" t="s">
        <v>21</v>
      </c>
      <c r="N70" s="2" t="str">
        <f aca="false">IF(H70&gt;=6,"High",IF(H70&gt;=3,"Medium","Low"))</f>
        <v>Low</v>
      </c>
      <c r="O70" s="3"/>
    </row>
    <row r="71" customFormat="false" ht="35.05" hidden="false" customHeight="false" outlineLevel="0" collapsed="false">
      <c r="A71" s="4" t="n">
        <f aca="false">RANK(J71,$J$2:$J$101)+COUNTIF($J$2:J71,J71)-1</f>
        <v>70</v>
      </c>
      <c r="B71" s="5" t="s">
        <v>294</v>
      </c>
      <c r="C71" s="5" t="s">
        <v>48</v>
      </c>
      <c r="D71" s="5" t="s">
        <v>295</v>
      </c>
      <c r="E71" s="4" t="n">
        <v>90</v>
      </c>
      <c r="F71" s="5" t="s">
        <v>25</v>
      </c>
      <c r="G71" s="5" t="s">
        <v>296</v>
      </c>
      <c r="H71" s="4" t="n">
        <f aca="false">SUMPRODUCT(--(COUNTIFS(Evidence!$A$2:$A$680,B71,Evidence!$B$2:$B$680,{"A","B","C","D","E","F","G","H","I"})&gt;0))</f>
        <v>2</v>
      </c>
      <c r="I71" s="4" t="n">
        <f aca="false">COUNTIF(Evidence!$A$2:$A$680,B71)</f>
        <v>3</v>
      </c>
      <c r="J71" s="4" t="n">
        <f aca="false">H71*'Method &amp; Notes'!$B$4+MIN(I71,'Method &amp; Notes'!$B$6)*'Method &amp; Notes'!$B$5</f>
        <v>23</v>
      </c>
      <c r="K71" s="4" t="str">
        <f aca="false">IF(J71&gt;='Method &amp; Notes'!$B$7,"A - Core",IF(J71&gt;='Method &amp; Notes'!$B$8,"B - Common","C - Frequent"))</f>
        <v>C - Frequent</v>
      </c>
      <c r="L71" s="5" t="s">
        <v>297</v>
      </c>
      <c r="M71" s="5" t="s">
        <v>21</v>
      </c>
      <c r="N71" s="4" t="str">
        <f aca="false">IF(H71&gt;=6,"High",IF(H71&gt;=3,"Medium","Low"))</f>
        <v>Low</v>
      </c>
      <c r="O71" s="5"/>
    </row>
    <row r="72" customFormat="false" ht="35.05" hidden="false" customHeight="false" outlineLevel="0" collapsed="false">
      <c r="A72" s="2" t="n">
        <f aca="false">RANK(J72,$J$2:$J$101)+COUNTIF($J$2:J72,J72)-1</f>
        <v>71</v>
      </c>
      <c r="B72" s="3" t="s">
        <v>298</v>
      </c>
      <c r="C72" s="3" t="s">
        <v>48</v>
      </c>
      <c r="D72" s="3" t="s">
        <v>299</v>
      </c>
      <c r="E72" s="2" t="n">
        <v>30</v>
      </c>
      <c r="F72" s="3" t="s">
        <v>50</v>
      </c>
      <c r="G72" s="3" t="s">
        <v>41</v>
      </c>
      <c r="H72" s="2" t="n">
        <f aca="false">SUMPRODUCT(--(COUNTIFS(Evidence!$A$2:$A$680,B72,Evidence!$B$2:$B$680,{"A","B","C","D","E","F","G","H","I"})&gt;0))</f>
        <v>2</v>
      </c>
      <c r="I72" s="2" t="n">
        <f aca="false">COUNTIF(Evidence!$A$2:$A$680,B72)</f>
        <v>3</v>
      </c>
      <c r="J72" s="2" t="n">
        <f aca="false">H72*'Method &amp; Notes'!$B$4+MIN(I72,'Method &amp; Notes'!$B$6)*'Method &amp; Notes'!$B$5</f>
        <v>23</v>
      </c>
      <c r="K72" s="2" t="str">
        <f aca="false">IF(J72&gt;='Method &amp; Notes'!$B$7,"A - Core",IF(J72&gt;='Method &amp; Notes'!$B$8,"B - Common","C - Frequent"))</f>
        <v>C - Frequent</v>
      </c>
      <c r="L72" s="3" t="s">
        <v>300</v>
      </c>
      <c r="M72" s="3" t="s">
        <v>21</v>
      </c>
      <c r="N72" s="2" t="str">
        <f aca="false">IF(H72&gt;=6,"High",IF(H72&gt;=3,"Medium","Low"))</f>
        <v>Low</v>
      </c>
      <c r="O72" s="3"/>
    </row>
    <row r="73" customFormat="false" ht="23.85" hidden="false" customHeight="false" outlineLevel="0" collapsed="false">
      <c r="A73" s="4" t="n">
        <f aca="false">RANK(J73,$J$2:$J$101)+COUNTIF($J$2:J73,J73)-1</f>
        <v>72</v>
      </c>
      <c r="B73" s="5" t="s">
        <v>301</v>
      </c>
      <c r="C73" s="5" t="s">
        <v>115</v>
      </c>
      <c r="D73" s="5" t="s">
        <v>302</v>
      </c>
      <c r="E73" s="4" t="n">
        <v>30</v>
      </c>
      <c r="F73" s="5" t="s">
        <v>25</v>
      </c>
      <c r="G73" s="5" t="s">
        <v>303</v>
      </c>
      <c r="H73" s="4" t="n">
        <f aca="false">SUMPRODUCT(--(COUNTIFS(Evidence!$A$2:$A$680,B73,Evidence!$B$2:$B$680,{"A","B","C","D","E","F","G","H","I"})&gt;0))</f>
        <v>2</v>
      </c>
      <c r="I73" s="4" t="n">
        <f aca="false">COUNTIF(Evidence!$A$2:$A$680,B73)</f>
        <v>3</v>
      </c>
      <c r="J73" s="4" t="n">
        <f aca="false">H73*'Method &amp; Notes'!$B$4+MIN(I73,'Method &amp; Notes'!$B$6)*'Method &amp; Notes'!$B$5</f>
        <v>23</v>
      </c>
      <c r="K73" s="4" t="str">
        <f aca="false">IF(J73&gt;='Method &amp; Notes'!$B$7,"A - Core",IF(J73&gt;='Method &amp; Notes'!$B$8,"B - Common","C - Frequent"))</f>
        <v>C - Frequent</v>
      </c>
      <c r="L73" s="5" t="s">
        <v>304</v>
      </c>
      <c r="M73" s="5" t="s">
        <v>21</v>
      </c>
      <c r="N73" s="4" t="str">
        <f aca="false">IF(H73&gt;=6,"High",IF(H73&gt;=3,"Medium","Low"))</f>
        <v>Low</v>
      </c>
      <c r="O73" s="5"/>
    </row>
    <row r="74" customFormat="false" ht="23.85" hidden="false" customHeight="false" outlineLevel="0" collapsed="false">
      <c r="A74" s="2" t="n">
        <f aca="false">RANK(J74,$J$2:$J$101)+COUNTIF($J$2:J74,J74)-1</f>
        <v>73</v>
      </c>
      <c r="B74" s="3" t="s">
        <v>305</v>
      </c>
      <c r="C74" s="3" t="s">
        <v>83</v>
      </c>
      <c r="D74" s="3" t="s">
        <v>306</v>
      </c>
      <c r="E74" s="2" t="n">
        <v>60</v>
      </c>
      <c r="F74" s="3" t="s">
        <v>25</v>
      </c>
      <c r="G74" s="3" t="s">
        <v>41</v>
      </c>
      <c r="H74" s="2" t="n">
        <f aca="false">SUMPRODUCT(--(COUNTIFS(Evidence!$A$2:$A$680,B74,Evidence!$B$2:$B$680,{"A","B","C","D","E","F","G","H","I"})&gt;0))</f>
        <v>2</v>
      </c>
      <c r="I74" s="2" t="n">
        <f aca="false">COUNTIF(Evidence!$A$2:$A$680,B74)</f>
        <v>3</v>
      </c>
      <c r="J74" s="2" t="n">
        <f aca="false">H74*'Method &amp; Notes'!$B$4+MIN(I74,'Method &amp; Notes'!$B$6)*'Method &amp; Notes'!$B$5</f>
        <v>23</v>
      </c>
      <c r="K74" s="2" t="str">
        <f aca="false">IF(J74&gt;='Method &amp; Notes'!$B$7,"A - Core",IF(J74&gt;='Method &amp; Notes'!$B$8,"B - Common","C - Frequent"))</f>
        <v>C - Frequent</v>
      </c>
      <c r="L74" s="3" t="s">
        <v>307</v>
      </c>
      <c r="M74" s="3" t="s">
        <v>305</v>
      </c>
      <c r="N74" s="2" t="str">
        <f aca="false">IF(H74&gt;=6,"High",IF(H74&gt;=3,"Medium","Low"))</f>
        <v>Low</v>
      </c>
      <c r="O74" s="3"/>
    </row>
    <row r="75" customFormat="false" ht="35.05" hidden="false" customHeight="false" outlineLevel="0" collapsed="false">
      <c r="A75" s="4" t="n">
        <f aca="false">RANK(J75,$J$2:$J$101)+COUNTIF($J$2:J75,J75)-1</f>
        <v>74</v>
      </c>
      <c r="B75" s="5" t="s">
        <v>308</v>
      </c>
      <c r="C75" s="5" t="s">
        <v>53</v>
      </c>
      <c r="D75" s="5" t="s">
        <v>309</v>
      </c>
      <c r="E75" s="4" t="n">
        <v>60</v>
      </c>
      <c r="F75" s="5" t="s">
        <v>25</v>
      </c>
      <c r="G75" s="5" t="s">
        <v>310</v>
      </c>
      <c r="H75" s="4" t="n">
        <f aca="false">SUMPRODUCT(--(COUNTIFS(Evidence!$A$2:$A$680,B75,Evidence!$B$2:$B$680,{"A","B","C","D","E","F","G","H","I"})&gt;0))</f>
        <v>2</v>
      </c>
      <c r="I75" s="4" t="n">
        <f aca="false">COUNTIF(Evidence!$A$2:$A$680,B75)</f>
        <v>3</v>
      </c>
      <c r="J75" s="4" t="n">
        <f aca="false">H75*'Method &amp; Notes'!$B$4+MIN(I75,'Method &amp; Notes'!$B$6)*'Method &amp; Notes'!$B$5</f>
        <v>23</v>
      </c>
      <c r="K75" s="4" t="str">
        <f aca="false">IF(J75&gt;='Method &amp; Notes'!$B$7,"A - Core",IF(J75&gt;='Method &amp; Notes'!$B$8,"B - Common","C - Frequent"))</f>
        <v>C - Frequent</v>
      </c>
      <c r="L75" s="5" t="s">
        <v>311</v>
      </c>
      <c r="M75" s="5" t="s">
        <v>21</v>
      </c>
      <c r="N75" s="4" t="str">
        <f aca="false">IF(H75&gt;=6,"High",IF(H75&gt;=3,"Medium","Low"))</f>
        <v>Low</v>
      </c>
      <c r="O75" s="5"/>
    </row>
    <row r="76" customFormat="false" ht="35.05" hidden="false" customHeight="false" outlineLevel="0" collapsed="false">
      <c r="A76" s="2" t="n">
        <f aca="false">RANK(J76,$J$2:$J$101)+COUNTIF($J$2:J76,J76)-1</f>
        <v>75</v>
      </c>
      <c r="B76" s="3" t="s">
        <v>312</v>
      </c>
      <c r="C76" s="3" t="s">
        <v>74</v>
      </c>
      <c r="D76" s="3" t="s">
        <v>313</v>
      </c>
      <c r="E76" s="2" t="n">
        <v>30</v>
      </c>
      <c r="F76" s="3" t="s">
        <v>25</v>
      </c>
      <c r="G76" s="3" t="s">
        <v>41</v>
      </c>
      <c r="H76" s="2" t="n">
        <f aca="false">SUMPRODUCT(--(COUNTIFS(Evidence!$A$2:$A$680,B76,Evidence!$B$2:$B$680,{"A","B","C","D","E","F","G","H","I"})&gt;0))</f>
        <v>2</v>
      </c>
      <c r="I76" s="2" t="n">
        <f aca="false">COUNTIF(Evidence!$A$2:$A$680,B76)</f>
        <v>3</v>
      </c>
      <c r="J76" s="2" t="n">
        <f aca="false">H76*'Method &amp; Notes'!$B$4+MIN(I76,'Method &amp; Notes'!$B$6)*'Method &amp; Notes'!$B$5</f>
        <v>23</v>
      </c>
      <c r="K76" s="2" t="str">
        <f aca="false">IF(J76&gt;='Method &amp; Notes'!$B$7,"A - Core",IF(J76&gt;='Method &amp; Notes'!$B$8,"B - Common","C - Frequent"))</f>
        <v>C - Frequent</v>
      </c>
      <c r="L76" s="3" t="s">
        <v>314</v>
      </c>
      <c r="M76" s="3" t="s">
        <v>21</v>
      </c>
      <c r="N76" s="2" t="str">
        <f aca="false">IF(H76&gt;=6,"High",IF(H76&gt;=3,"Medium","Low"))</f>
        <v>Low</v>
      </c>
      <c r="O76" s="3"/>
    </row>
    <row r="77" customFormat="false" ht="23.85" hidden="false" customHeight="false" outlineLevel="0" collapsed="false">
      <c r="A77" s="4" t="n">
        <f aca="false">RANK(J77,$J$2:$J$101)+COUNTIF($J$2:J77,J77)-1</f>
        <v>76</v>
      </c>
      <c r="B77" s="5" t="s">
        <v>315</v>
      </c>
      <c r="C77" s="5" t="s">
        <v>183</v>
      </c>
      <c r="D77" s="5" t="s">
        <v>316</v>
      </c>
      <c r="E77" s="4" t="n">
        <v>45</v>
      </c>
      <c r="F77" s="5" t="s">
        <v>18</v>
      </c>
      <c r="G77" s="5" t="s">
        <v>317</v>
      </c>
      <c r="H77" s="4" t="n">
        <f aca="false">SUMPRODUCT(--(COUNTIFS(Evidence!$A$2:$A$680,B77,Evidence!$B$2:$B$680,{"A","B","C","D","E","F","G","H","I"})&gt;0))</f>
        <v>2</v>
      </c>
      <c r="I77" s="4" t="n">
        <f aca="false">COUNTIF(Evidence!$A$2:$A$680,B77)</f>
        <v>3</v>
      </c>
      <c r="J77" s="4" t="n">
        <f aca="false">H77*'Method &amp; Notes'!$B$4+MIN(I77,'Method &amp; Notes'!$B$6)*'Method &amp; Notes'!$B$5</f>
        <v>23</v>
      </c>
      <c r="K77" s="4" t="str">
        <f aca="false">IF(J77&gt;='Method &amp; Notes'!$B$7,"A - Core",IF(J77&gt;='Method &amp; Notes'!$B$8,"B - Common","C - Frequent"))</f>
        <v>C - Frequent</v>
      </c>
      <c r="L77" s="5" t="s">
        <v>318</v>
      </c>
      <c r="M77" s="5" t="s">
        <v>21</v>
      </c>
      <c r="N77" s="4" t="str">
        <f aca="false">IF(H77&gt;=6,"High",IF(H77&gt;=3,"Medium","Low"))</f>
        <v>Low</v>
      </c>
      <c r="O77" s="5"/>
    </row>
    <row r="78" customFormat="false" ht="46.25" hidden="false" customHeight="false" outlineLevel="0" collapsed="false">
      <c r="A78" s="2" t="n">
        <f aca="false">RANK(J78,$J$2:$J$101)+COUNTIF($J$2:J78,J78)-1</f>
        <v>77</v>
      </c>
      <c r="B78" s="3" t="s">
        <v>319</v>
      </c>
      <c r="C78" s="3" t="s">
        <v>53</v>
      </c>
      <c r="D78" s="3" t="s">
        <v>320</v>
      </c>
      <c r="E78" s="2" t="n">
        <v>60</v>
      </c>
      <c r="F78" s="3" t="s">
        <v>25</v>
      </c>
      <c r="G78" s="3" t="s">
        <v>321</v>
      </c>
      <c r="H78" s="2" t="n">
        <f aca="false">SUMPRODUCT(--(COUNTIFS(Evidence!$A$2:$A$680,B78,Evidence!$B$2:$B$680,{"A","B","C","D","E","F","G","H","I"})&gt;0))</f>
        <v>2</v>
      </c>
      <c r="I78" s="2" t="n">
        <f aca="false">COUNTIF(Evidence!$A$2:$A$680,B78)</f>
        <v>2</v>
      </c>
      <c r="J78" s="2" t="n">
        <f aca="false">H78*'Method &amp; Notes'!$B$4+MIN(I78,'Method &amp; Notes'!$B$6)*'Method &amp; Notes'!$B$5</f>
        <v>22</v>
      </c>
      <c r="K78" s="2" t="str">
        <f aca="false">IF(J78&gt;='Method &amp; Notes'!$B$7,"A - Core",IF(J78&gt;='Method &amp; Notes'!$B$8,"B - Common","C - Frequent"))</f>
        <v>C - Frequent</v>
      </c>
      <c r="L78" s="3" t="s">
        <v>322</v>
      </c>
      <c r="M78" s="3" t="s">
        <v>21</v>
      </c>
      <c r="N78" s="2" t="str">
        <f aca="false">IF(H78&gt;=6,"High",IF(H78&gt;=3,"Medium","Low"))</f>
        <v>Low</v>
      </c>
      <c r="O78" s="3"/>
    </row>
    <row r="79" customFormat="false" ht="35.05" hidden="false" customHeight="false" outlineLevel="0" collapsed="false">
      <c r="A79" s="4" t="n">
        <f aca="false">RANK(J79,$J$2:$J$101)+COUNTIF($J$2:J79,J79)-1</f>
        <v>78</v>
      </c>
      <c r="B79" s="5" t="s">
        <v>323</v>
      </c>
      <c r="C79" s="5" t="s">
        <v>115</v>
      </c>
      <c r="D79" s="5" t="s">
        <v>324</v>
      </c>
      <c r="E79" s="4" t="n">
        <v>60</v>
      </c>
      <c r="F79" s="5" t="s">
        <v>50</v>
      </c>
      <c r="G79" s="5" t="s">
        <v>325</v>
      </c>
      <c r="H79" s="4" t="n">
        <f aca="false">SUMPRODUCT(--(COUNTIFS(Evidence!$A$2:$A$680,B79,Evidence!$B$2:$B$680,{"A","B","C","D","E","F","G","H","I"})&gt;0))</f>
        <v>2</v>
      </c>
      <c r="I79" s="4" t="n">
        <f aca="false">COUNTIF(Evidence!$A$2:$A$680,B79)</f>
        <v>2</v>
      </c>
      <c r="J79" s="4" t="n">
        <f aca="false">H79*'Method &amp; Notes'!$B$4+MIN(I79,'Method &amp; Notes'!$B$6)*'Method &amp; Notes'!$B$5</f>
        <v>22</v>
      </c>
      <c r="K79" s="4" t="str">
        <f aca="false">IF(J79&gt;='Method &amp; Notes'!$B$7,"A - Core",IF(J79&gt;='Method &amp; Notes'!$B$8,"B - Common","C - Frequent"))</f>
        <v>C - Frequent</v>
      </c>
      <c r="L79" s="5" t="s">
        <v>326</v>
      </c>
      <c r="M79" s="5" t="s">
        <v>21</v>
      </c>
      <c r="N79" s="4" t="str">
        <f aca="false">IF(H79&gt;=6,"High",IF(H79&gt;=3,"Medium","Low"))</f>
        <v>Low</v>
      </c>
      <c r="O79" s="5"/>
    </row>
    <row r="80" customFormat="false" ht="35.05" hidden="false" customHeight="false" outlineLevel="0" collapsed="false">
      <c r="A80" s="2" t="n">
        <f aca="false">RANK(J80,$J$2:$J$101)+COUNTIF($J$2:J80,J80)-1</f>
        <v>79</v>
      </c>
      <c r="B80" s="3" t="s">
        <v>327</v>
      </c>
      <c r="C80" s="3" t="s">
        <v>16</v>
      </c>
      <c r="D80" s="3" t="s">
        <v>328</v>
      </c>
      <c r="E80" s="2" t="n">
        <v>90</v>
      </c>
      <c r="F80" s="3" t="s">
        <v>18</v>
      </c>
      <c r="G80" s="3" t="s">
        <v>41</v>
      </c>
      <c r="H80" s="2" t="n">
        <f aca="false">SUMPRODUCT(--(COUNTIFS(Evidence!$A$2:$A$680,B80,Evidence!$B$2:$B$680,{"A","B","C","D","E","F","G","H","I"})&gt;0))</f>
        <v>2</v>
      </c>
      <c r="I80" s="2" t="n">
        <f aca="false">COUNTIF(Evidence!$A$2:$A$680,B80)</f>
        <v>2</v>
      </c>
      <c r="J80" s="2" t="n">
        <f aca="false">H80*'Method &amp; Notes'!$B$4+MIN(I80,'Method &amp; Notes'!$B$6)*'Method &amp; Notes'!$B$5</f>
        <v>22</v>
      </c>
      <c r="K80" s="2" t="str">
        <f aca="false">IF(J80&gt;='Method &amp; Notes'!$B$7,"A - Core",IF(J80&gt;='Method &amp; Notes'!$B$8,"B - Common","C - Frequent"))</f>
        <v>C - Frequent</v>
      </c>
      <c r="L80" s="3" t="s">
        <v>329</v>
      </c>
      <c r="M80" s="3" t="s">
        <v>21</v>
      </c>
      <c r="N80" s="2" t="str">
        <f aca="false">IF(H80&gt;=6,"High",IF(H80&gt;=3,"Medium","Low"))</f>
        <v>Low</v>
      </c>
      <c r="O80" s="3"/>
    </row>
    <row r="81" customFormat="false" ht="35.05" hidden="false" customHeight="false" outlineLevel="0" collapsed="false">
      <c r="A81" s="4" t="n">
        <f aca="false">RANK(J81,$J$2:$J$101)+COUNTIF($J$2:J81,J81)-1</f>
        <v>80</v>
      </c>
      <c r="B81" s="5" t="s">
        <v>330</v>
      </c>
      <c r="C81" s="5" t="s">
        <v>183</v>
      </c>
      <c r="D81" s="5" t="s">
        <v>331</v>
      </c>
      <c r="E81" s="4" t="n">
        <v>120</v>
      </c>
      <c r="F81" s="5" t="s">
        <v>25</v>
      </c>
      <c r="G81" s="5" t="s">
        <v>332</v>
      </c>
      <c r="H81" s="4" t="n">
        <f aca="false">SUMPRODUCT(--(COUNTIFS(Evidence!$A$2:$A$680,B81,Evidence!$B$2:$B$680,{"A","B","C","D","E","F","G","H","I"})&gt;0))</f>
        <v>2</v>
      </c>
      <c r="I81" s="4" t="n">
        <f aca="false">COUNTIF(Evidence!$A$2:$A$680,B81)</f>
        <v>2</v>
      </c>
      <c r="J81" s="4" t="n">
        <f aca="false">H81*'Method &amp; Notes'!$B$4+MIN(I81,'Method &amp; Notes'!$B$6)*'Method &amp; Notes'!$B$5</f>
        <v>22</v>
      </c>
      <c r="K81" s="4" t="str">
        <f aca="false">IF(J81&gt;='Method &amp; Notes'!$B$7,"A - Core",IF(J81&gt;='Method &amp; Notes'!$B$8,"B - Common","C - Frequent"))</f>
        <v>C - Frequent</v>
      </c>
      <c r="L81" s="5" t="s">
        <v>333</v>
      </c>
      <c r="M81" s="5" t="s">
        <v>21</v>
      </c>
      <c r="N81" s="4" t="str">
        <f aca="false">IF(H81&gt;=6,"High",IF(H81&gt;=3,"Medium","Low"))</f>
        <v>Low</v>
      </c>
      <c r="O81" s="5"/>
    </row>
    <row r="82" customFormat="false" ht="35.05" hidden="false" customHeight="false" outlineLevel="0" collapsed="false">
      <c r="A82" s="2" t="n">
        <f aca="false">RANK(J82,$J$2:$J$101)+COUNTIF($J$2:J82,J82)-1</f>
        <v>81</v>
      </c>
      <c r="B82" s="3" t="s">
        <v>334</v>
      </c>
      <c r="C82" s="3" t="s">
        <v>16</v>
      </c>
      <c r="D82" s="3" t="s">
        <v>335</v>
      </c>
      <c r="E82" s="2" t="n">
        <v>90</v>
      </c>
      <c r="F82" s="3" t="s">
        <v>25</v>
      </c>
      <c r="G82" s="3" t="s">
        <v>336</v>
      </c>
      <c r="H82" s="2" t="n">
        <f aca="false">SUMPRODUCT(--(COUNTIFS(Evidence!$A$2:$A$680,B82,Evidence!$B$2:$B$680,{"A","B","C","D","E","F","G","H","I"})&gt;0))</f>
        <v>2</v>
      </c>
      <c r="I82" s="2" t="n">
        <f aca="false">COUNTIF(Evidence!$A$2:$A$680,B82)</f>
        <v>2</v>
      </c>
      <c r="J82" s="2" t="n">
        <f aca="false">H82*'Method &amp; Notes'!$B$4+MIN(I82,'Method &amp; Notes'!$B$6)*'Method &amp; Notes'!$B$5</f>
        <v>22</v>
      </c>
      <c r="K82" s="2" t="str">
        <f aca="false">IF(J82&gt;='Method &amp; Notes'!$B$7,"A - Core",IF(J82&gt;='Method &amp; Notes'!$B$8,"B - Common","C - Frequent"))</f>
        <v>C - Frequent</v>
      </c>
      <c r="L82" s="3" t="s">
        <v>337</v>
      </c>
      <c r="M82" s="3" t="s">
        <v>21</v>
      </c>
      <c r="N82" s="2" t="str">
        <f aca="false">IF(H82&gt;=6,"High",IF(H82&gt;=3,"Medium","Low"))</f>
        <v>Low</v>
      </c>
      <c r="O82" s="3"/>
    </row>
    <row r="83" customFormat="false" ht="35.05" hidden="false" customHeight="false" outlineLevel="0" collapsed="false">
      <c r="A83" s="4" t="n">
        <f aca="false">RANK(J83,$J$2:$J$101)+COUNTIF($J$2:J83,J83)-1</f>
        <v>82</v>
      </c>
      <c r="B83" s="5" t="s">
        <v>338</v>
      </c>
      <c r="C83" s="5" t="s">
        <v>34</v>
      </c>
      <c r="D83" s="5" t="s">
        <v>339</v>
      </c>
      <c r="E83" s="4" t="n">
        <v>90</v>
      </c>
      <c r="F83" s="5" t="s">
        <v>18</v>
      </c>
      <c r="G83" s="5" t="s">
        <v>340</v>
      </c>
      <c r="H83" s="4" t="n">
        <f aca="false">SUMPRODUCT(--(COUNTIFS(Evidence!$A$2:$A$680,B83,Evidence!$B$2:$B$680,{"A","B","C","D","E","F","G","H","I"})&gt;0))</f>
        <v>2</v>
      </c>
      <c r="I83" s="4" t="n">
        <f aca="false">COUNTIF(Evidence!$A$2:$A$680,B83)</f>
        <v>2</v>
      </c>
      <c r="J83" s="4" t="n">
        <f aca="false">H83*'Method &amp; Notes'!$B$4+MIN(I83,'Method &amp; Notes'!$B$6)*'Method &amp; Notes'!$B$5</f>
        <v>22</v>
      </c>
      <c r="K83" s="4" t="str">
        <f aca="false">IF(J83&gt;='Method &amp; Notes'!$B$7,"A - Core",IF(J83&gt;='Method &amp; Notes'!$B$8,"B - Common","C - Frequent"))</f>
        <v>C - Frequent</v>
      </c>
      <c r="L83" s="5" t="s">
        <v>341</v>
      </c>
      <c r="M83" s="5" t="s">
        <v>21</v>
      </c>
      <c r="N83" s="4" t="str">
        <f aca="false">IF(H83&gt;=6,"High",IF(H83&gt;=3,"Medium","Low"))</f>
        <v>Low</v>
      </c>
      <c r="O83" s="5"/>
    </row>
    <row r="84" customFormat="false" ht="46.25" hidden="false" customHeight="false" outlineLevel="0" collapsed="false">
      <c r="A84" s="2" t="n">
        <f aca="false">RANK(J84,$J$2:$J$101)+COUNTIF($J$2:J84,J84)-1</f>
        <v>83</v>
      </c>
      <c r="B84" s="3" t="s">
        <v>342</v>
      </c>
      <c r="C84" s="3" t="s">
        <v>48</v>
      </c>
      <c r="D84" s="3" t="s">
        <v>343</v>
      </c>
      <c r="E84" s="2" t="n">
        <v>90</v>
      </c>
      <c r="F84" s="3" t="s">
        <v>18</v>
      </c>
      <c r="G84" s="3" t="s">
        <v>344</v>
      </c>
      <c r="H84" s="2" t="n">
        <f aca="false">SUMPRODUCT(--(COUNTIFS(Evidence!$A$2:$A$680,B84,Evidence!$B$2:$B$680,{"A","B","C","D","E","F","G","H","I"})&gt;0))</f>
        <v>2</v>
      </c>
      <c r="I84" s="2" t="n">
        <f aca="false">COUNTIF(Evidence!$A$2:$A$680,B84)</f>
        <v>2</v>
      </c>
      <c r="J84" s="2" t="n">
        <f aca="false">H84*'Method &amp; Notes'!$B$4+MIN(I84,'Method &amp; Notes'!$B$6)*'Method &amp; Notes'!$B$5</f>
        <v>22</v>
      </c>
      <c r="K84" s="2" t="str">
        <f aca="false">IF(J84&gt;='Method &amp; Notes'!$B$7,"A - Core",IF(J84&gt;='Method &amp; Notes'!$B$8,"B - Common","C - Frequent"))</f>
        <v>C - Frequent</v>
      </c>
      <c r="L84" s="3" t="s">
        <v>345</v>
      </c>
      <c r="M84" s="3" t="s">
        <v>21</v>
      </c>
      <c r="N84" s="2" t="str">
        <f aca="false">IF(H84&gt;=6,"High",IF(H84&gt;=3,"Medium","Low"))</f>
        <v>Low</v>
      </c>
      <c r="O84" s="3"/>
    </row>
    <row r="85" customFormat="false" ht="35.05" hidden="false" customHeight="false" outlineLevel="0" collapsed="false">
      <c r="A85" s="4" t="n">
        <f aca="false">RANK(J85,$J$2:$J$101)+COUNTIF($J$2:J85,J85)-1</f>
        <v>84</v>
      </c>
      <c r="B85" s="5" t="s">
        <v>346</v>
      </c>
      <c r="C85" s="5" t="s">
        <v>34</v>
      </c>
      <c r="D85" s="5" t="s">
        <v>347</v>
      </c>
      <c r="E85" s="4" t="n">
        <v>90</v>
      </c>
      <c r="F85" s="5" t="s">
        <v>18</v>
      </c>
      <c r="G85" s="5" t="s">
        <v>348</v>
      </c>
      <c r="H85" s="4" t="n">
        <f aca="false">SUMPRODUCT(--(COUNTIFS(Evidence!$A$2:$A$680,B85,Evidence!$B$2:$B$680,{"A","B","C","D","E","F","G","H","I"})&gt;0))</f>
        <v>2</v>
      </c>
      <c r="I85" s="4" t="n">
        <f aca="false">COUNTIF(Evidence!$A$2:$A$680,B85)</f>
        <v>2</v>
      </c>
      <c r="J85" s="4" t="n">
        <f aca="false">H85*'Method &amp; Notes'!$B$4+MIN(I85,'Method &amp; Notes'!$B$6)*'Method &amp; Notes'!$B$5</f>
        <v>22</v>
      </c>
      <c r="K85" s="4" t="str">
        <f aca="false">IF(J85&gt;='Method &amp; Notes'!$B$7,"A - Core",IF(J85&gt;='Method &amp; Notes'!$B$8,"B - Common","C - Frequent"))</f>
        <v>C - Frequent</v>
      </c>
      <c r="L85" s="5" t="s">
        <v>349</v>
      </c>
      <c r="M85" s="5" t="s">
        <v>21</v>
      </c>
      <c r="N85" s="4" t="str">
        <f aca="false">IF(H85&gt;=6,"High",IF(H85&gt;=3,"Medium","Low"))</f>
        <v>Low</v>
      </c>
      <c r="O85" s="5"/>
    </row>
    <row r="86" customFormat="false" ht="57.45" hidden="false" customHeight="false" outlineLevel="0" collapsed="false">
      <c r="A86" s="2" t="n">
        <f aca="false">RANK(J86,$J$2:$J$101)+COUNTIF($J$2:J86,J86)-1</f>
        <v>85</v>
      </c>
      <c r="B86" s="3" t="s">
        <v>350</v>
      </c>
      <c r="C86" s="3" t="s">
        <v>34</v>
      </c>
      <c r="D86" s="3" t="s">
        <v>351</v>
      </c>
      <c r="E86" s="2" t="n">
        <v>60</v>
      </c>
      <c r="F86" s="3" t="s">
        <v>352</v>
      </c>
      <c r="G86" s="3" t="s">
        <v>353</v>
      </c>
      <c r="H86" s="2" t="n">
        <f aca="false">SUMPRODUCT(--(COUNTIFS(Evidence!$A$2:$A$680,B86,Evidence!$B$2:$B$680,{"A","B","C","D","E","F","G","H","I"})&gt;0))</f>
        <v>1</v>
      </c>
      <c r="I86" s="2" t="n">
        <f aca="false">COUNTIF(Evidence!$A$2:$A$680,B86)</f>
        <v>4</v>
      </c>
      <c r="J86" s="2" t="n">
        <f aca="false">H86*'Method &amp; Notes'!$B$4+MIN(I86,'Method &amp; Notes'!$B$6)*'Method &amp; Notes'!$B$5</f>
        <v>14</v>
      </c>
      <c r="K86" s="2" t="str">
        <f aca="false">IF(J86&gt;='Method &amp; Notes'!$B$7,"A - Core",IF(J86&gt;='Method &amp; Notes'!$B$8,"B - Common","C - Frequent"))</f>
        <v>C - Frequent</v>
      </c>
      <c r="L86" s="3" t="s">
        <v>354</v>
      </c>
      <c r="M86" s="3" t="s">
        <v>21</v>
      </c>
      <c r="N86" s="2" t="str">
        <f aca="false">IF(H86&gt;=6,"High",IF(H86&gt;=3,"Medium","Low"))</f>
        <v>Low</v>
      </c>
      <c r="O86" s="3"/>
    </row>
    <row r="87" customFormat="false" ht="23.85" hidden="false" customHeight="false" outlineLevel="0" collapsed="false">
      <c r="A87" s="4" t="n">
        <f aca="false">RANK(J87,$J$2:$J$101)+COUNTIF($J$2:J87,J87)-1</f>
        <v>86</v>
      </c>
      <c r="B87" s="5" t="s">
        <v>355</v>
      </c>
      <c r="C87" s="5" t="s">
        <v>115</v>
      </c>
      <c r="D87" s="5" t="s">
        <v>356</v>
      </c>
      <c r="E87" s="4" t="n">
        <v>45</v>
      </c>
      <c r="F87" s="5" t="s">
        <v>25</v>
      </c>
      <c r="G87" s="5" t="s">
        <v>41</v>
      </c>
      <c r="H87" s="4" t="n">
        <f aca="false">SUMPRODUCT(--(COUNTIFS(Evidence!$A$2:$A$680,B87,Evidence!$B$2:$B$680,{"A","B","C","D","E","F","G","H","I"})&gt;0))</f>
        <v>1</v>
      </c>
      <c r="I87" s="4" t="n">
        <f aca="false">COUNTIF(Evidence!$A$2:$A$680,B87)</f>
        <v>3</v>
      </c>
      <c r="J87" s="4" t="n">
        <f aca="false">H87*'Method &amp; Notes'!$B$4+MIN(I87,'Method &amp; Notes'!$B$6)*'Method &amp; Notes'!$B$5</f>
        <v>13</v>
      </c>
      <c r="K87" s="4" t="str">
        <f aca="false">IF(J87&gt;='Method &amp; Notes'!$B$7,"A - Core",IF(J87&gt;='Method &amp; Notes'!$B$8,"B - Common","C - Frequent"))</f>
        <v>C - Frequent</v>
      </c>
      <c r="L87" s="5" t="s">
        <v>357</v>
      </c>
      <c r="M87" s="5" t="s">
        <v>21</v>
      </c>
      <c r="N87" s="4" t="str">
        <f aca="false">IF(H87&gt;=6,"High",IF(H87&gt;=3,"Medium","Low"))</f>
        <v>Low</v>
      </c>
      <c r="O87" s="5"/>
    </row>
    <row r="88" customFormat="false" ht="35.05" hidden="false" customHeight="false" outlineLevel="0" collapsed="false">
      <c r="A88" s="2" t="n">
        <f aca="false">RANK(J88,$J$2:$J$101)+COUNTIF($J$2:J88,J88)-1</f>
        <v>87</v>
      </c>
      <c r="B88" s="3" t="s">
        <v>358</v>
      </c>
      <c r="C88" s="3" t="s">
        <v>183</v>
      </c>
      <c r="D88" s="3" t="s">
        <v>359</v>
      </c>
      <c r="E88" s="2" t="n">
        <v>75</v>
      </c>
      <c r="F88" s="3" t="s">
        <v>18</v>
      </c>
      <c r="G88" s="3" t="s">
        <v>360</v>
      </c>
      <c r="H88" s="2" t="n">
        <f aca="false">SUMPRODUCT(--(COUNTIFS(Evidence!$A$2:$A$680,B88,Evidence!$B$2:$B$680,{"A","B","C","D","E","F","G","H","I"})&gt;0))</f>
        <v>1</v>
      </c>
      <c r="I88" s="2" t="n">
        <f aca="false">COUNTIF(Evidence!$A$2:$A$680,B88)</f>
        <v>3</v>
      </c>
      <c r="J88" s="2" t="n">
        <f aca="false">H88*'Method &amp; Notes'!$B$4+MIN(I88,'Method &amp; Notes'!$B$6)*'Method &amp; Notes'!$B$5</f>
        <v>13</v>
      </c>
      <c r="K88" s="2" t="str">
        <f aca="false">IF(J88&gt;='Method &amp; Notes'!$B$7,"A - Core",IF(J88&gt;='Method &amp; Notes'!$B$8,"B - Common","C - Frequent"))</f>
        <v>C - Frequent</v>
      </c>
      <c r="L88" s="3" t="s">
        <v>361</v>
      </c>
      <c r="M88" s="3" t="s">
        <v>21</v>
      </c>
      <c r="N88" s="2" t="str">
        <f aca="false">IF(H88&gt;=6,"High",IF(H88&gt;=3,"Medium","Low"))</f>
        <v>Low</v>
      </c>
      <c r="O88" s="3"/>
    </row>
    <row r="89" customFormat="false" ht="23.85" hidden="false" customHeight="false" outlineLevel="0" collapsed="false">
      <c r="A89" s="4" t="n">
        <f aca="false">RANK(J89,$J$2:$J$101)+COUNTIF($J$2:J89,J89)-1</f>
        <v>88</v>
      </c>
      <c r="B89" s="5" t="s">
        <v>362</v>
      </c>
      <c r="C89" s="5" t="s">
        <v>83</v>
      </c>
      <c r="D89" s="5" t="s">
        <v>363</v>
      </c>
      <c r="E89" s="4" t="n">
        <v>45</v>
      </c>
      <c r="F89" s="5" t="s">
        <v>25</v>
      </c>
      <c r="G89" s="5" t="s">
        <v>41</v>
      </c>
      <c r="H89" s="4" t="n">
        <f aca="false">SUMPRODUCT(--(COUNTIFS(Evidence!$A$2:$A$680,B89,Evidence!$B$2:$B$680,{"A","B","C","D","E","F","G","H","I"})&gt;0))</f>
        <v>1</v>
      </c>
      <c r="I89" s="4" t="n">
        <f aca="false">COUNTIF(Evidence!$A$2:$A$680,B89)</f>
        <v>2</v>
      </c>
      <c r="J89" s="4" t="n">
        <f aca="false">H89*'Method &amp; Notes'!$B$4+MIN(I89,'Method &amp; Notes'!$B$6)*'Method &amp; Notes'!$B$5</f>
        <v>12</v>
      </c>
      <c r="K89" s="4" t="str">
        <f aca="false">IF(J89&gt;='Method &amp; Notes'!$B$7,"A - Core",IF(J89&gt;='Method &amp; Notes'!$B$8,"B - Common","C - Frequent"))</f>
        <v>C - Frequent</v>
      </c>
      <c r="L89" s="5" t="s">
        <v>364</v>
      </c>
      <c r="M89" s="5" t="s">
        <v>365</v>
      </c>
      <c r="N89" s="4" t="str">
        <f aca="false">IF(H89&gt;=6,"High",IF(H89&gt;=3,"Medium","Low"))</f>
        <v>Low</v>
      </c>
      <c r="O89" s="5"/>
    </row>
    <row r="90" customFormat="false" ht="35.05" hidden="false" customHeight="false" outlineLevel="0" collapsed="false">
      <c r="A90" s="2" t="n">
        <f aca="false">RANK(J90,$J$2:$J$101)+COUNTIF($J$2:J90,J90)-1</f>
        <v>89</v>
      </c>
      <c r="B90" s="3" t="s">
        <v>366</v>
      </c>
      <c r="C90" s="3" t="s">
        <v>83</v>
      </c>
      <c r="D90" s="3" t="s">
        <v>367</v>
      </c>
      <c r="E90" s="2" t="n">
        <v>120</v>
      </c>
      <c r="F90" s="3" t="s">
        <v>25</v>
      </c>
      <c r="G90" s="3" t="s">
        <v>41</v>
      </c>
      <c r="H90" s="2" t="n">
        <f aca="false">SUMPRODUCT(--(COUNTIFS(Evidence!$A$2:$A$680,B90,Evidence!$B$2:$B$680,{"A","B","C","D","E","F","G","H","I"})&gt;0))</f>
        <v>1</v>
      </c>
      <c r="I90" s="2" t="n">
        <f aca="false">COUNTIF(Evidence!$A$2:$A$680,B90)</f>
        <v>2</v>
      </c>
      <c r="J90" s="2" t="n">
        <f aca="false">H90*'Method &amp; Notes'!$B$4+MIN(I90,'Method &amp; Notes'!$B$6)*'Method &amp; Notes'!$B$5</f>
        <v>12</v>
      </c>
      <c r="K90" s="2" t="str">
        <f aca="false">IF(J90&gt;='Method &amp; Notes'!$B$7,"A - Core",IF(J90&gt;='Method &amp; Notes'!$B$8,"B - Common","C - Frequent"))</f>
        <v>C - Frequent</v>
      </c>
      <c r="L90" s="3" t="s">
        <v>368</v>
      </c>
      <c r="M90" s="3" t="s">
        <v>369</v>
      </c>
      <c r="N90" s="2" t="str">
        <f aca="false">IF(H90&gt;=6,"High",IF(H90&gt;=3,"Medium","Low"))</f>
        <v>Low</v>
      </c>
      <c r="O90" s="3"/>
    </row>
    <row r="91" customFormat="false" ht="46.25" hidden="false" customHeight="false" outlineLevel="0" collapsed="false">
      <c r="A91" s="4" t="n">
        <f aca="false">RANK(J91,$J$2:$J$101)+COUNTIF($J$2:J91,J91)-1</f>
        <v>90</v>
      </c>
      <c r="B91" s="5" t="s">
        <v>370</v>
      </c>
      <c r="C91" s="5" t="s">
        <v>83</v>
      </c>
      <c r="D91" s="5" t="s">
        <v>371</v>
      </c>
      <c r="E91" s="4" t="n">
        <v>120</v>
      </c>
      <c r="F91" s="5" t="s">
        <v>25</v>
      </c>
      <c r="G91" s="5" t="s">
        <v>372</v>
      </c>
      <c r="H91" s="4" t="n">
        <f aca="false">SUMPRODUCT(--(COUNTIFS(Evidence!$A$2:$A$680,B91,Evidence!$B$2:$B$680,{"A","B","C","D","E","F","G","H","I"})&gt;0))</f>
        <v>1</v>
      </c>
      <c r="I91" s="4" t="n">
        <f aca="false">COUNTIF(Evidence!$A$2:$A$680,B91)</f>
        <v>2</v>
      </c>
      <c r="J91" s="4" t="n">
        <f aca="false">H91*'Method &amp; Notes'!$B$4+MIN(I91,'Method &amp; Notes'!$B$6)*'Method &amp; Notes'!$B$5</f>
        <v>12</v>
      </c>
      <c r="K91" s="4" t="str">
        <f aca="false">IF(J91&gt;='Method &amp; Notes'!$B$7,"A - Core",IF(J91&gt;='Method &amp; Notes'!$B$8,"B - Common","C - Frequent"))</f>
        <v>C - Frequent</v>
      </c>
      <c r="L91" s="5" t="s">
        <v>373</v>
      </c>
      <c r="M91" s="5" t="s">
        <v>21</v>
      </c>
      <c r="N91" s="4" t="str">
        <f aca="false">IF(H91&gt;=6,"High",IF(H91&gt;=3,"Medium","Low"))</f>
        <v>Low</v>
      </c>
      <c r="O91" s="5"/>
    </row>
    <row r="92" customFormat="false" ht="35.05" hidden="false" customHeight="false" outlineLevel="0" collapsed="false">
      <c r="A92" s="2" t="n">
        <f aca="false">RANK(J92,$J$2:$J$101)+COUNTIF($J$2:J92,J92)-1</f>
        <v>91</v>
      </c>
      <c r="B92" s="3" t="s">
        <v>374</v>
      </c>
      <c r="C92" s="3" t="s">
        <v>23</v>
      </c>
      <c r="D92" s="3" t="s">
        <v>375</v>
      </c>
      <c r="E92" s="2" t="n">
        <v>120</v>
      </c>
      <c r="F92" s="3" t="s">
        <v>25</v>
      </c>
      <c r="G92" s="3" t="s">
        <v>376</v>
      </c>
      <c r="H92" s="2" t="n">
        <f aca="false">SUMPRODUCT(--(COUNTIFS(Evidence!$A$2:$A$680,B92,Evidence!$B$2:$B$680,{"A","B","C","D","E","F","G","H","I"})&gt;0))</f>
        <v>1</v>
      </c>
      <c r="I92" s="2" t="n">
        <f aca="false">COUNTIF(Evidence!$A$2:$A$680,B92)</f>
        <v>2</v>
      </c>
      <c r="J92" s="2" t="n">
        <f aca="false">H92*'Method &amp; Notes'!$B$4+MIN(I92,'Method &amp; Notes'!$B$6)*'Method &amp; Notes'!$B$5</f>
        <v>12</v>
      </c>
      <c r="K92" s="2" t="str">
        <f aca="false">IF(J92&gt;='Method &amp; Notes'!$B$7,"A - Core",IF(J92&gt;='Method &amp; Notes'!$B$8,"B - Common","C - Frequent"))</f>
        <v>C - Frequent</v>
      </c>
      <c r="L92" s="3" t="s">
        <v>377</v>
      </c>
      <c r="M92" s="3" t="s">
        <v>21</v>
      </c>
      <c r="N92" s="2" t="str">
        <f aca="false">IF(H92&gt;=6,"High",IF(H92&gt;=3,"Medium","Low"))</f>
        <v>Low</v>
      </c>
      <c r="O92" s="3"/>
    </row>
    <row r="93" customFormat="false" ht="35.05" hidden="false" customHeight="false" outlineLevel="0" collapsed="false">
      <c r="A93" s="4" t="n">
        <f aca="false">RANK(J93,$J$2:$J$101)+COUNTIF($J$2:J93,J93)-1</f>
        <v>92</v>
      </c>
      <c r="B93" s="5" t="s">
        <v>378</v>
      </c>
      <c r="C93" s="5" t="s">
        <v>115</v>
      </c>
      <c r="D93" s="5" t="s">
        <v>379</v>
      </c>
      <c r="E93" s="4" t="n">
        <v>60</v>
      </c>
      <c r="F93" s="5" t="s">
        <v>50</v>
      </c>
      <c r="G93" s="5" t="s">
        <v>380</v>
      </c>
      <c r="H93" s="4" t="n">
        <f aca="false">SUMPRODUCT(--(COUNTIFS(Evidence!$A$2:$A$680,B93,Evidence!$B$2:$B$680,{"A","B","C","D","E","F","G","H","I"})&gt;0))</f>
        <v>1</v>
      </c>
      <c r="I93" s="4" t="n">
        <f aca="false">COUNTIF(Evidence!$A$2:$A$680,B93)</f>
        <v>2</v>
      </c>
      <c r="J93" s="4" t="n">
        <f aca="false">H93*'Method &amp; Notes'!$B$4+MIN(I93,'Method &amp; Notes'!$B$6)*'Method &amp; Notes'!$B$5</f>
        <v>12</v>
      </c>
      <c r="K93" s="4" t="str">
        <f aca="false">IF(J93&gt;='Method &amp; Notes'!$B$7,"A - Core",IF(J93&gt;='Method &amp; Notes'!$B$8,"B - Common","C - Frequent"))</f>
        <v>C - Frequent</v>
      </c>
      <c r="L93" s="5" t="s">
        <v>381</v>
      </c>
      <c r="M93" s="5" t="s">
        <v>21</v>
      </c>
      <c r="N93" s="4" t="str">
        <f aca="false">IF(H93&gt;=6,"High",IF(H93&gt;=3,"Medium","Low"))</f>
        <v>Low</v>
      </c>
      <c r="O93" s="5"/>
    </row>
    <row r="94" customFormat="false" ht="35.05" hidden="false" customHeight="false" outlineLevel="0" collapsed="false">
      <c r="A94" s="2" t="n">
        <f aca="false">RANK(J94,$J$2:$J$101)+COUNTIF($J$2:J94,J94)-1</f>
        <v>93</v>
      </c>
      <c r="B94" s="3" t="s">
        <v>382</v>
      </c>
      <c r="C94" s="3" t="s">
        <v>53</v>
      </c>
      <c r="D94" s="3" t="s">
        <v>383</v>
      </c>
      <c r="E94" s="2" t="n">
        <v>45</v>
      </c>
      <c r="F94" s="3" t="s">
        <v>25</v>
      </c>
      <c r="G94" s="3" t="s">
        <v>384</v>
      </c>
      <c r="H94" s="2" t="n">
        <f aca="false">SUMPRODUCT(--(COUNTIFS(Evidence!$A$2:$A$680,B94,Evidence!$B$2:$B$680,{"A","B","C","D","E","F","G","H","I"})&gt;0))</f>
        <v>1</v>
      </c>
      <c r="I94" s="2" t="n">
        <f aca="false">COUNTIF(Evidence!$A$2:$A$680,B94)</f>
        <v>2</v>
      </c>
      <c r="J94" s="2" t="n">
        <f aca="false">H94*'Method &amp; Notes'!$B$4+MIN(I94,'Method &amp; Notes'!$B$6)*'Method &amp; Notes'!$B$5</f>
        <v>12</v>
      </c>
      <c r="K94" s="2" t="str">
        <f aca="false">IF(J94&gt;='Method &amp; Notes'!$B$7,"A - Core",IF(J94&gt;='Method &amp; Notes'!$B$8,"B - Common","C - Frequent"))</f>
        <v>C - Frequent</v>
      </c>
      <c r="L94" s="3" t="s">
        <v>385</v>
      </c>
      <c r="M94" s="3" t="s">
        <v>21</v>
      </c>
      <c r="N94" s="2" t="str">
        <f aca="false">IF(H94&gt;=6,"High",IF(H94&gt;=3,"Medium","Low"))</f>
        <v>Low</v>
      </c>
      <c r="O94" s="3"/>
    </row>
    <row r="95" customFormat="false" ht="35.05" hidden="false" customHeight="false" outlineLevel="0" collapsed="false">
      <c r="A95" s="4" t="n">
        <f aca="false">RANK(J95,$J$2:$J$101)+COUNTIF($J$2:J95,J95)-1</f>
        <v>94</v>
      </c>
      <c r="B95" s="5" t="s">
        <v>386</v>
      </c>
      <c r="C95" s="5" t="s">
        <v>23</v>
      </c>
      <c r="D95" s="5" t="s">
        <v>387</v>
      </c>
      <c r="E95" s="4" t="n">
        <v>30</v>
      </c>
      <c r="F95" s="5" t="s">
        <v>25</v>
      </c>
      <c r="G95" s="5" t="s">
        <v>388</v>
      </c>
      <c r="H95" s="4" t="n">
        <f aca="false">SUMPRODUCT(--(COUNTIFS(Evidence!$A$2:$A$680,B95,Evidence!$B$2:$B$680,{"A","B","C","D","E","F","G","H","I"})&gt;0))</f>
        <v>1</v>
      </c>
      <c r="I95" s="4" t="n">
        <f aca="false">COUNTIF(Evidence!$A$2:$A$680,B95)</f>
        <v>1</v>
      </c>
      <c r="J95" s="4" t="n">
        <f aca="false">H95*'Method &amp; Notes'!$B$4+MIN(I95,'Method &amp; Notes'!$B$6)*'Method &amp; Notes'!$B$5</f>
        <v>11</v>
      </c>
      <c r="K95" s="4" t="str">
        <f aca="false">IF(J95&gt;='Method &amp; Notes'!$B$7,"A - Core",IF(J95&gt;='Method &amp; Notes'!$B$8,"B - Common","C - Frequent"))</f>
        <v>C - Frequent</v>
      </c>
      <c r="L95" s="5" t="s">
        <v>389</v>
      </c>
      <c r="M95" s="5" t="s">
        <v>21</v>
      </c>
      <c r="N95" s="4" t="str">
        <f aca="false">IF(H95&gt;=6,"High",IF(H95&gt;=3,"Medium","Low"))</f>
        <v>Low</v>
      </c>
      <c r="O95" s="5"/>
    </row>
    <row r="96" customFormat="false" ht="35.05" hidden="false" customHeight="false" outlineLevel="0" collapsed="false">
      <c r="A96" s="2" t="n">
        <f aca="false">RANK(J96,$J$2:$J$101)+COUNTIF($J$2:J96,J96)-1</f>
        <v>95</v>
      </c>
      <c r="B96" s="3" t="s">
        <v>390</v>
      </c>
      <c r="C96" s="3" t="s">
        <v>53</v>
      </c>
      <c r="D96" s="3" t="s">
        <v>391</v>
      </c>
      <c r="E96" s="2" t="n">
        <v>120</v>
      </c>
      <c r="F96" s="3" t="s">
        <v>25</v>
      </c>
      <c r="G96" s="3" t="s">
        <v>392</v>
      </c>
      <c r="H96" s="2" t="n">
        <f aca="false">SUMPRODUCT(--(COUNTIFS(Evidence!$A$2:$A$680,B96,Evidence!$B$2:$B$680,{"A","B","C","D","E","F","G","H","I"})&gt;0))</f>
        <v>1</v>
      </c>
      <c r="I96" s="2" t="n">
        <f aca="false">COUNTIF(Evidence!$A$2:$A$680,B96)</f>
        <v>1</v>
      </c>
      <c r="J96" s="2" t="n">
        <f aca="false">H96*'Method &amp; Notes'!$B$4+MIN(I96,'Method &amp; Notes'!$B$6)*'Method &amp; Notes'!$B$5</f>
        <v>11</v>
      </c>
      <c r="K96" s="2" t="str">
        <f aca="false">IF(J96&gt;='Method &amp; Notes'!$B$7,"A - Core",IF(J96&gt;='Method &amp; Notes'!$B$8,"B - Common","C - Frequent"))</f>
        <v>C - Frequent</v>
      </c>
      <c r="L96" s="3" t="s">
        <v>393</v>
      </c>
      <c r="M96" s="3" t="s">
        <v>21</v>
      </c>
      <c r="N96" s="2" t="str">
        <f aca="false">IF(H96&gt;=6,"High",IF(H96&gt;=3,"Medium","Low"))</f>
        <v>Low</v>
      </c>
      <c r="O96" s="3"/>
    </row>
    <row r="97" customFormat="false" ht="35.05" hidden="false" customHeight="false" outlineLevel="0" collapsed="false">
      <c r="A97" s="4" t="n">
        <f aca="false">RANK(J97,$J$2:$J$101)+COUNTIF($J$2:J97,J97)-1</f>
        <v>96</v>
      </c>
      <c r="B97" s="5" t="s">
        <v>394</v>
      </c>
      <c r="C97" s="5" t="s">
        <v>23</v>
      </c>
      <c r="D97" s="5" t="s">
        <v>395</v>
      </c>
      <c r="E97" s="4" t="n">
        <v>60</v>
      </c>
      <c r="F97" s="5" t="s">
        <v>25</v>
      </c>
      <c r="G97" s="5" t="s">
        <v>396</v>
      </c>
      <c r="H97" s="4" t="n">
        <f aca="false">SUMPRODUCT(--(COUNTIFS(Evidence!$A$2:$A$680,B97,Evidence!$B$2:$B$680,{"A","B","C","D","E","F","G","H","I"})&gt;0))</f>
        <v>1</v>
      </c>
      <c r="I97" s="4" t="n">
        <f aca="false">COUNTIF(Evidence!$A$2:$A$680,B97)</f>
        <v>1</v>
      </c>
      <c r="J97" s="4" t="n">
        <f aca="false">H97*'Method &amp; Notes'!$B$4+MIN(I97,'Method &amp; Notes'!$B$6)*'Method &amp; Notes'!$B$5</f>
        <v>11</v>
      </c>
      <c r="K97" s="4" t="str">
        <f aca="false">IF(J97&gt;='Method &amp; Notes'!$B$7,"A - Core",IF(J97&gt;='Method &amp; Notes'!$B$8,"B - Common","C - Frequent"))</f>
        <v>C - Frequent</v>
      </c>
      <c r="L97" s="5" t="s">
        <v>397</v>
      </c>
      <c r="M97" s="5" t="s">
        <v>21</v>
      </c>
      <c r="N97" s="4" t="str">
        <f aca="false">IF(H97&gt;=6,"High",IF(H97&gt;=3,"Medium","Low"))</f>
        <v>Low</v>
      </c>
      <c r="O97" s="5"/>
    </row>
    <row r="98" customFormat="false" ht="35.05" hidden="false" customHeight="false" outlineLevel="0" collapsed="false">
      <c r="A98" s="2" t="n">
        <f aca="false">RANK(J98,$J$2:$J$101)+COUNTIF($J$2:J98,J98)-1</f>
        <v>97</v>
      </c>
      <c r="B98" s="3" t="s">
        <v>398</v>
      </c>
      <c r="C98" s="3" t="s">
        <v>83</v>
      </c>
      <c r="D98" s="3" t="s">
        <v>399</v>
      </c>
      <c r="E98" s="2" t="n">
        <v>90</v>
      </c>
      <c r="F98" s="3" t="s">
        <v>50</v>
      </c>
      <c r="G98" s="3" t="s">
        <v>41</v>
      </c>
      <c r="H98" s="2" t="n">
        <f aca="false">SUMPRODUCT(--(COUNTIFS(Evidence!$A$2:$A$680,B98,Evidence!$B$2:$B$680,{"A","B","C","D","E","F","G","H","I"})&gt;0))</f>
        <v>1</v>
      </c>
      <c r="I98" s="2" t="n">
        <f aca="false">COUNTIF(Evidence!$A$2:$A$680,B98)</f>
        <v>1</v>
      </c>
      <c r="J98" s="2" t="n">
        <f aca="false">H98*'Method &amp; Notes'!$B$4+MIN(I98,'Method &amp; Notes'!$B$6)*'Method &amp; Notes'!$B$5</f>
        <v>11</v>
      </c>
      <c r="K98" s="2" t="str">
        <f aca="false">IF(J98&gt;='Method &amp; Notes'!$B$7,"A - Core",IF(J98&gt;='Method &amp; Notes'!$B$8,"B - Common","C - Frequent"))</f>
        <v>C - Frequent</v>
      </c>
      <c r="L98" s="3" t="s">
        <v>400</v>
      </c>
      <c r="M98" s="3" t="s">
        <v>21</v>
      </c>
      <c r="N98" s="2" t="str">
        <f aca="false">IF(H98&gt;=6,"High",IF(H98&gt;=3,"Medium","Low"))</f>
        <v>Low</v>
      </c>
      <c r="O98" s="3"/>
    </row>
    <row r="99" customFormat="false" ht="35.05" hidden="false" customHeight="false" outlineLevel="0" collapsed="false">
      <c r="A99" s="4" t="n">
        <f aca="false">RANK(J99,$J$2:$J$101)+COUNTIF($J$2:J99,J99)-1</f>
        <v>98</v>
      </c>
      <c r="B99" s="5" t="s">
        <v>401</v>
      </c>
      <c r="C99" s="5" t="s">
        <v>132</v>
      </c>
      <c r="D99" s="5" t="s">
        <v>402</v>
      </c>
      <c r="E99" s="4" t="n">
        <v>45</v>
      </c>
      <c r="F99" s="5" t="s">
        <v>18</v>
      </c>
      <c r="G99" s="5" t="s">
        <v>41</v>
      </c>
      <c r="H99" s="4" t="n">
        <f aca="false">SUMPRODUCT(--(COUNTIFS(Evidence!$A$2:$A$680,B99,Evidence!$B$2:$B$680,{"A","B","C","D","E","F","G","H","I"})&gt;0))</f>
        <v>1</v>
      </c>
      <c r="I99" s="4" t="n">
        <f aca="false">COUNTIF(Evidence!$A$2:$A$680,B99)</f>
        <v>1</v>
      </c>
      <c r="J99" s="4" t="n">
        <f aca="false">H99*'Method &amp; Notes'!$B$4+MIN(I99,'Method &amp; Notes'!$B$6)*'Method &amp; Notes'!$B$5</f>
        <v>11</v>
      </c>
      <c r="K99" s="4" t="str">
        <f aca="false">IF(J99&gt;='Method &amp; Notes'!$B$7,"A - Core",IF(J99&gt;='Method &amp; Notes'!$B$8,"B - Common","C - Frequent"))</f>
        <v>C - Frequent</v>
      </c>
      <c r="L99" s="5" t="s">
        <v>403</v>
      </c>
      <c r="M99" s="5" t="s">
        <v>404</v>
      </c>
      <c r="N99" s="4" t="str">
        <f aca="false">IF(H99&gt;=6,"High",IF(H99&gt;=3,"Medium","Low"))</f>
        <v>Low</v>
      </c>
      <c r="O99" s="5"/>
    </row>
    <row r="100" customFormat="false" ht="35.05" hidden="false" customHeight="false" outlineLevel="0" collapsed="false">
      <c r="A100" s="2" t="n">
        <f aca="false">RANK(J100,$J$2:$J$101)+COUNTIF($J$2:J100,J100)-1</f>
        <v>99</v>
      </c>
      <c r="B100" s="3" t="s">
        <v>405</v>
      </c>
      <c r="C100" s="3" t="s">
        <v>48</v>
      </c>
      <c r="D100" s="3" t="s">
        <v>406</v>
      </c>
      <c r="E100" s="2" t="n">
        <v>45</v>
      </c>
      <c r="F100" s="3" t="s">
        <v>18</v>
      </c>
      <c r="G100" s="3" t="s">
        <v>407</v>
      </c>
      <c r="H100" s="2" t="n">
        <f aca="false">SUMPRODUCT(--(COUNTIFS(Evidence!$A$2:$A$680,B100,Evidence!$B$2:$B$680,{"A","B","C","D","E","F","G","H","I"})&gt;0))</f>
        <v>0</v>
      </c>
      <c r="I100" s="2" t="n">
        <f aca="false">COUNTIF(Evidence!$A$2:$A$680,B100)</f>
        <v>3</v>
      </c>
      <c r="J100" s="2" t="n">
        <f aca="false">H100*'Method &amp; Notes'!$B$4+MIN(I100,'Method &amp; Notes'!$B$6)*'Method &amp; Notes'!$B$5</f>
        <v>3</v>
      </c>
      <c r="K100" s="2" t="str">
        <f aca="false">IF(J100&gt;='Method &amp; Notes'!$B$7,"A - Core",IF(J100&gt;='Method &amp; Notes'!$B$8,"B - Common","C - Frequent"))</f>
        <v>C - Frequent</v>
      </c>
      <c r="L100" s="3" t="s">
        <v>408</v>
      </c>
      <c r="M100" s="3" t="s">
        <v>21</v>
      </c>
      <c r="N100" s="2" t="str">
        <f aca="false">IF(H100&gt;=6,"High",IF(H100&gt;=3,"Medium","Low"))</f>
        <v>Low</v>
      </c>
      <c r="O100" s="3" t="s">
        <v>409</v>
      </c>
    </row>
    <row r="101" customFormat="false" ht="57.45" hidden="false" customHeight="false" outlineLevel="0" collapsed="false">
      <c r="A101" s="4" t="n">
        <f aca="false">RANK(J101,$J$2:$J$101)+COUNTIF($J$2:J101,J101)-1</f>
        <v>100</v>
      </c>
      <c r="B101" s="5" t="s">
        <v>410</v>
      </c>
      <c r="C101" s="5" t="s">
        <v>53</v>
      </c>
      <c r="D101" s="5" t="s">
        <v>411</v>
      </c>
      <c r="E101" s="4" t="n">
        <v>60</v>
      </c>
      <c r="F101" s="5" t="s">
        <v>412</v>
      </c>
      <c r="G101" s="5" t="s">
        <v>413</v>
      </c>
      <c r="H101" s="4" t="n">
        <f aca="false">SUMPRODUCT(--(COUNTIFS(Evidence!$A$2:$A$680,B101,Evidence!$B$2:$B$680,{"A","B","C","D","E","F","G","H","I"})&gt;0))</f>
        <v>0</v>
      </c>
      <c r="I101" s="4" t="n">
        <f aca="false">COUNTIF(Evidence!$A$2:$A$680,B101)</f>
        <v>3</v>
      </c>
      <c r="J101" s="4" t="n">
        <f aca="false">H101*'Method &amp; Notes'!$B$4+MIN(I101,'Method &amp; Notes'!$B$6)*'Method &amp; Notes'!$B$5</f>
        <v>3</v>
      </c>
      <c r="K101" s="4" t="str">
        <f aca="false">IF(J101&gt;='Method &amp; Notes'!$B$7,"A - Core",IF(J101&gt;='Method &amp; Notes'!$B$8,"B - Common","C - Frequent"))</f>
        <v>C - Frequent</v>
      </c>
      <c r="L101" s="5" t="s">
        <v>414</v>
      </c>
      <c r="M101" s="5" t="s">
        <v>21</v>
      </c>
      <c r="N101" s="4" t="str">
        <f aca="false">IF(H101&gt;=6,"High",IF(H101&gt;=3,"Medium","Low"))</f>
        <v>Low</v>
      </c>
      <c r="O101" s="5" t="s">
        <v>409</v>
      </c>
    </row>
    <row r="103" customFormat="false" ht="15" hidden="false" customHeight="false" outlineLevel="0" collapsed="false">
      <c r="B103" s="6" t="s">
        <v>415</v>
      </c>
      <c r="C103" s="7" t="n">
        <f aca="false">COUNTA(B2:B101)</f>
        <v>100</v>
      </c>
    </row>
    <row r="104" customFormat="false" ht="15" hidden="false" customHeight="false" outlineLevel="0" collapsed="false">
      <c r="B104" s="6" t="s">
        <v>416</v>
      </c>
      <c r="C104" s="8" t="n">
        <f aca="false">AVERAGE(E2:E101)</f>
        <v>71.25</v>
      </c>
    </row>
    <row r="105" customFormat="false" ht="15" hidden="false" customHeight="false" outlineLevel="0" collapsed="false">
      <c r="B105" s="9" t="s">
        <v>417</v>
      </c>
    </row>
    <row r="106" customFormat="false" ht="15" hidden="false" customHeight="false" outlineLevel="0" collapsed="false">
      <c r="B106" s="9" t="s">
        <v>418</v>
      </c>
    </row>
  </sheetData>
  <autoFilter ref="A1:O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3" min="3" style="0" width="14"/>
    <col collapsed="false" customWidth="true" hidden="false" outlineLevel="0" max="4" min="4" style="0" width="22"/>
    <col collapsed="false" customWidth="true" hidden="false" outlineLevel="0" max="6" min="5" style="0" width="14"/>
  </cols>
  <sheetData>
    <row r="1" customFormat="false" ht="23.85" hidden="false" customHeight="false" outlineLevel="0" collapsed="false">
      <c r="A1" s="1" t="s">
        <v>2</v>
      </c>
      <c r="B1" s="1" t="s">
        <v>419</v>
      </c>
      <c r="C1" s="1" t="s">
        <v>420</v>
      </c>
      <c r="D1" s="1" t="s">
        <v>421</v>
      </c>
      <c r="E1" s="1" t="s">
        <v>422</v>
      </c>
      <c r="F1" s="1" t="s">
        <v>423</v>
      </c>
    </row>
    <row r="2" customFormat="false" ht="15" hidden="false" customHeight="false" outlineLevel="0" collapsed="false">
      <c r="A2" s="10" t="s">
        <v>34</v>
      </c>
      <c r="B2" s="10" t="n">
        <f aca="false">COUNTIF('Top 100 Jobs'!$C$2:$C$101,A2)</f>
        <v>14</v>
      </c>
      <c r="C2" s="11" t="n">
        <f aca="false">B2/$B$12</f>
        <v>0.14</v>
      </c>
      <c r="D2" s="12" t="n">
        <f aca="false">AVERAGEIF('Top 100 Jobs'!$C$2:$C$101,A2,'Top 100 Jobs'!$E$2:$E$101)</f>
        <v>61.0714285714286</v>
      </c>
      <c r="E2" s="13" t="n">
        <f aca="false">AVERAGEIF('Top 100 Jobs'!$C$2:$C$101,A2,'Top 100 Jobs'!$J$2:$J$101)</f>
        <v>53.2142857142857</v>
      </c>
      <c r="F2" s="10" t="n">
        <f aca="false">COUNTIFS('Top 100 Jobs'!$C$2:$C$101,A2,'Top 100 Jobs'!$K$2:$K$101,"A - Core")</f>
        <v>4</v>
      </c>
    </row>
    <row r="3" customFormat="false" ht="15" hidden="false" customHeight="false" outlineLevel="0" collapsed="false">
      <c r="A3" s="10" t="s">
        <v>48</v>
      </c>
      <c r="B3" s="10" t="n">
        <f aca="false">COUNTIF('Top 100 Jobs'!$C$2:$C$101,A3)</f>
        <v>11</v>
      </c>
      <c r="C3" s="11" t="n">
        <f aca="false">B3/$B$12</f>
        <v>0.11</v>
      </c>
      <c r="D3" s="12" t="n">
        <f aca="false">AVERAGEIF('Top 100 Jobs'!$C$2:$C$101,A3,'Top 100 Jobs'!$E$2:$E$101)</f>
        <v>64.0909090909091</v>
      </c>
      <c r="E3" s="13" t="n">
        <f aca="false">AVERAGEIF('Top 100 Jobs'!$C$2:$C$101,A3,'Top 100 Jobs'!$J$2:$J$101)</f>
        <v>45.4545454545455</v>
      </c>
      <c r="F3" s="10" t="n">
        <f aca="false">COUNTIFS('Top 100 Jobs'!$C$2:$C$101,A3,'Top 100 Jobs'!$K$2:$K$101,"A - Core")</f>
        <v>3</v>
      </c>
    </row>
    <row r="4" customFormat="false" ht="15" hidden="false" customHeight="false" outlineLevel="0" collapsed="false">
      <c r="A4" s="10" t="s">
        <v>16</v>
      </c>
      <c r="B4" s="10" t="n">
        <f aca="false">COUNTIF('Top 100 Jobs'!$C$2:$C$101,A4)</f>
        <v>9</v>
      </c>
      <c r="C4" s="11" t="n">
        <f aca="false">B4/$B$12</f>
        <v>0.09</v>
      </c>
      <c r="D4" s="12" t="n">
        <f aca="false">AVERAGEIF('Top 100 Jobs'!$C$2:$C$101,A4,'Top 100 Jobs'!$E$2:$E$101)</f>
        <v>95</v>
      </c>
      <c r="E4" s="13" t="n">
        <f aca="false">AVERAGEIF('Top 100 Jobs'!$C$2:$C$101,A4,'Top 100 Jobs'!$J$2:$J$101)</f>
        <v>52.6666666666667</v>
      </c>
      <c r="F4" s="10" t="n">
        <f aca="false">COUNTIFS('Top 100 Jobs'!$C$2:$C$101,A4,'Top 100 Jobs'!$K$2:$K$101,"A - Core")</f>
        <v>3</v>
      </c>
    </row>
    <row r="5" customFormat="false" ht="15" hidden="false" customHeight="false" outlineLevel="0" collapsed="false">
      <c r="A5" s="10" t="s">
        <v>74</v>
      </c>
      <c r="B5" s="10" t="n">
        <f aca="false">COUNTIF('Top 100 Jobs'!$C$2:$C$101,A5)</f>
        <v>8</v>
      </c>
      <c r="C5" s="11" t="n">
        <f aca="false">B5/$B$12</f>
        <v>0.08</v>
      </c>
      <c r="D5" s="12" t="n">
        <f aca="false">AVERAGEIF('Top 100 Jobs'!$C$2:$C$101,A5,'Top 100 Jobs'!$E$2:$E$101)</f>
        <v>69.375</v>
      </c>
      <c r="E5" s="13" t="n">
        <f aca="false">AVERAGEIF('Top 100 Jobs'!$C$2:$C$101,A5,'Top 100 Jobs'!$J$2:$J$101)</f>
        <v>45.125</v>
      </c>
      <c r="F5" s="10" t="n">
        <f aca="false">COUNTIFS('Top 100 Jobs'!$C$2:$C$101,A5,'Top 100 Jobs'!$K$2:$K$101,"A - Core")</f>
        <v>2</v>
      </c>
    </row>
    <row r="6" customFormat="false" ht="15" hidden="false" customHeight="false" outlineLevel="0" collapsed="false">
      <c r="A6" s="10" t="s">
        <v>23</v>
      </c>
      <c r="B6" s="10" t="n">
        <f aca="false">COUNTIF('Top 100 Jobs'!$C$2:$C$101,A6)</f>
        <v>14</v>
      </c>
      <c r="C6" s="11" t="n">
        <f aca="false">B6/$B$12</f>
        <v>0.14</v>
      </c>
      <c r="D6" s="12" t="n">
        <f aca="false">AVERAGEIF('Top 100 Jobs'!$C$2:$C$101,A6,'Top 100 Jobs'!$E$2:$E$101)</f>
        <v>63.2142857142857</v>
      </c>
      <c r="E6" s="13" t="n">
        <f aca="false">AVERAGEIF('Top 100 Jobs'!$C$2:$C$101,A6,'Top 100 Jobs'!$J$2:$J$101)</f>
        <v>55.5714285714286</v>
      </c>
      <c r="F6" s="10" t="n">
        <f aca="false">COUNTIFS('Top 100 Jobs'!$C$2:$C$101,A6,'Top 100 Jobs'!$K$2:$K$101,"A - Core")</f>
        <v>4</v>
      </c>
    </row>
    <row r="7" customFormat="false" ht="15" hidden="false" customHeight="false" outlineLevel="0" collapsed="false">
      <c r="A7" s="10" t="s">
        <v>53</v>
      </c>
      <c r="B7" s="10" t="n">
        <f aca="false">COUNTIF('Top 100 Jobs'!$C$2:$C$101,A7)</f>
        <v>13</v>
      </c>
      <c r="C7" s="11" t="n">
        <f aca="false">B7/$B$12</f>
        <v>0.13</v>
      </c>
      <c r="D7" s="12" t="n">
        <f aca="false">AVERAGEIF('Top 100 Jobs'!$C$2:$C$101,A7,'Top 100 Jobs'!$E$2:$E$101)</f>
        <v>75</v>
      </c>
      <c r="E7" s="13" t="n">
        <f aca="false">AVERAGEIF('Top 100 Jobs'!$C$2:$C$101,A7,'Top 100 Jobs'!$J$2:$J$101)</f>
        <v>33.3846153846154</v>
      </c>
      <c r="F7" s="10" t="n">
        <f aca="false">COUNTIFS('Top 100 Jobs'!$C$2:$C$101,A7,'Top 100 Jobs'!$K$2:$K$101,"A - Core")</f>
        <v>1</v>
      </c>
    </row>
    <row r="8" customFormat="false" ht="15" hidden="false" customHeight="false" outlineLevel="0" collapsed="false">
      <c r="A8" s="10" t="s">
        <v>83</v>
      </c>
      <c r="B8" s="10" t="n">
        <f aca="false">COUNTIF('Top 100 Jobs'!$C$2:$C$101,A8)</f>
        <v>7</v>
      </c>
      <c r="C8" s="11" t="n">
        <f aca="false">B8/$B$12</f>
        <v>0.07</v>
      </c>
      <c r="D8" s="12" t="n">
        <f aca="false">AVERAGEIF('Top 100 Jobs'!$C$2:$C$101,A8,'Top 100 Jobs'!$E$2:$E$101)</f>
        <v>92.1428571428571</v>
      </c>
      <c r="E8" s="13" t="n">
        <f aca="false">AVERAGEIF('Top 100 Jobs'!$C$2:$C$101,A8,'Top 100 Jobs'!$J$2:$J$101)</f>
        <v>24.5714285714286</v>
      </c>
      <c r="F8" s="10" t="n">
        <f aca="false">COUNTIFS('Top 100 Jobs'!$C$2:$C$101,A8,'Top 100 Jobs'!$K$2:$K$101,"A - Core")</f>
        <v>1</v>
      </c>
    </row>
    <row r="9" customFormat="false" ht="15" hidden="false" customHeight="false" outlineLevel="0" collapsed="false">
      <c r="A9" s="10" t="s">
        <v>132</v>
      </c>
      <c r="B9" s="10" t="n">
        <f aca="false">COUNTIF('Top 100 Jobs'!$C$2:$C$101,A9)</f>
        <v>7</v>
      </c>
      <c r="C9" s="11" t="n">
        <f aca="false">B9/$B$12</f>
        <v>0.07</v>
      </c>
      <c r="D9" s="12" t="n">
        <f aca="false">AVERAGEIF('Top 100 Jobs'!$C$2:$C$101,A9,'Top 100 Jobs'!$E$2:$E$101)</f>
        <v>64.2857142857143</v>
      </c>
      <c r="E9" s="13" t="n">
        <f aca="false">AVERAGEIF('Top 100 Jobs'!$C$2:$C$101,A9,'Top 100 Jobs'!$J$2:$J$101)</f>
        <v>44.5714285714286</v>
      </c>
      <c r="F9" s="10" t="n">
        <f aca="false">COUNTIFS('Top 100 Jobs'!$C$2:$C$101,A9,'Top 100 Jobs'!$K$2:$K$101,"A - Core")</f>
        <v>0</v>
      </c>
    </row>
    <row r="10" customFormat="false" ht="15" hidden="false" customHeight="false" outlineLevel="0" collapsed="false">
      <c r="A10" s="10" t="s">
        <v>115</v>
      </c>
      <c r="B10" s="10" t="n">
        <f aca="false">COUNTIF('Top 100 Jobs'!$C$2:$C$101,A10)</f>
        <v>9</v>
      </c>
      <c r="C10" s="11" t="n">
        <f aca="false">B10/$B$12</f>
        <v>0.09</v>
      </c>
      <c r="D10" s="12" t="n">
        <f aca="false">AVERAGEIF('Top 100 Jobs'!$C$2:$C$101,A10,'Top 100 Jobs'!$E$2:$E$101)</f>
        <v>51.6666666666667</v>
      </c>
      <c r="E10" s="13" t="n">
        <f aca="false">AVERAGEIF('Top 100 Jobs'!$C$2:$C$101,A10,'Top 100 Jobs'!$J$2:$J$101)</f>
        <v>33.5555555555556</v>
      </c>
      <c r="F10" s="10" t="n">
        <f aca="false">COUNTIFS('Top 100 Jobs'!$C$2:$C$101,A10,'Top 100 Jobs'!$K$2:$K$101,"A - Core")</f>
        <v>0</v>
      </c>
    </row>
    <row r="11" customFormat="false" ht="15" hidden="false" customHeight="false" outlineLevel="0" collapsed="false">
      <c r="A11" s="10" t="s">
        <v>183</v>
      </c>
      <c r="B11" s="10" t="n">
        <f aca="false">COUNTIF('Top 100 Jobs'!$C$2:$C$101,A11)</f>
        <v>8</v>
      </c>
      <c r="C11" s="11" t="n">
        <f aca="false">B11/$B$12</f>
        <v>0.08</v>
      </c>
      <c r="D11" s="12" t="n">
        <f aca="false">AVERAGEIF('Top 100 Jobs'!$C$2:$C$101,A11,'Top 100 Jobs'!$E$2:$E$101)</f>
        <v>91.875</v>
      </c>
      <c r="E11" s="13" t="n">
        <f aca="false">AVERAGEIF('Top 100 Jobs'!$C$2:$C$101,A11,'Top 100 Jobs'!$J$2:$J$101)</f>
        <v>32.75</v>
      </c>
      <c r="F11" s="10" t="n">
        <f aca="false">COUNTIFS('Top 100 Jobs'!$C$2:$C$101,A11,'Top 100 Jobs'!$K$2:$K$101,"A - Core")</f>
        <v>0</v>
      </c>
    </row>
    <row r="12" customFormat="false" ht="15" hidden="false" customHeight="false" outlineLevel="0" collapsed="false">
      <c r="A12" s="6" t="s">
        <v>424</v>
      </c>
      <c r="B12" s="6" t="n">
        <f aca="false">SUM(B2:B11)</f>
        <v>100</v>
      </c>
      <c r="C12" s="14" t="n">
        <f aca="false">SUM(C2:C11)</f>
        <v>1</v>
      </c>
      <c r="F12" s="6" t="n">
        <f aca="false">SUM(F2:F11)</f>
        <v>18</v>
      </c>
    </row>
    <row r="14" customFormat="false" ht="15" hidden="false" customHeight="false" outlineLevel="0" collapsed="false">
      <c r="A14" s="9" t="s">
        <v>425</v>
      </c>
      <c r="B14" s="6" t="str">
        <f aca="false">IF(B12=100,"OK","CHECK")</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
    <col collapsed="false" customWidth="true" hidden="false" outlineLevel="0" max="3" min="3" style="0" width="34"/>
    <col collapsed="false" customWidth="true" hidden="false" outlineLevel="0" max="4" min="4" style="0" width="30"/>
    <col collapsed="false" customWidth="true" hidden="false" outlineLevel="0" max="5" min="5" style="0" width="52"/>
    <col collapsed="false" customWidth="true" hidden="false" outlineLevel="0" max="6" min="6" style="0" width="70"/>
  </cols>
  <sheetData>
    <row r="1" customFormat="false" ht="15" hidden="false" customHeight="false" outlineLevel="0" collapsed="false">
      <c r="A1" s="1" t="s">
        <v>1</v>
      </c>
      <c r="B1" s="1" t="s">
        <v>426</v>
      </c>
      <c r="C1" s="1" t="s">
        <v>427</v>
      </c>
      <c r="D1" s="1" t="s">
        <v>428</v>
      </c>
      <c r="E1" s="1" t="s">
        <v>429</v>
      </c>
      <c r="F1" s="1" t="s">
        <v>430</v>
      </c>
    </row>
    <row r="2" customFormat="false" ht="15" hidden="false" customHeight="false" outlineLevel="0" collapsed="false">
      <c r="A2" s="15" t="s">
        <v>15</v>
      </c>
      <c r="B2" s="15" t="s">
        <v>431</v>
      </c>
      <c r="C2" s="15" t="str">
        <f aca="false">IFERROR(INDEX('Method &amp; Notes'!$B$24:$B$34,MATCH(B2,'Method &amp; Notes'!$A$24:$A$34,0)),"")</f>
        <v>Marketplaces and booking platforms</v>
      </c>
      <c r="D2" s="15" t="s">
        <v>432</v>
      </c>
      <c r="E2" s="16" t="s">
        <v>433</v>
      </c>
      <c r="F2" s="15" t="s">
        <v>434</v>
      </c>
    </row>
    <row r="3" customFormat="false" ht="15" hidden="false" customHeight="false" outlineLevel="0" collapsed="false">
      <c r="A3" s="15" t="s">
        <v>15</v>
      </c>
      <c r="B3" s="15" t="s">
        <v>431</v>
      </c>
      <c r="C3" s="15" t="str">
        <f aca="false">IFERROR(INDEX('Method &amp; Notes'!$B$24:$B$34,MATCH(B3,'Method &amp; Notes'!$A$24:$A$34,0)),"")</f>
        <v>Marketplaces and booking platforms</v>
      </c>
      <c r="D3" s="15" t="s">
        <v>435</v>
      </c>
      <c r="E3" s="16" t="s">
        <v>436</v>
      </c>
      <c r="F3" s="15" t="s">
        <v>437</v>
      </c>
    </row>
    <row r="4" customFormat="false" ht="15" hidden="false" customHeight="false" outlineLevel="0" collapsed="false">
      <c r="A4" s="15" t="s">
        <v>15</v>
      </c>
      <c r="B4" s="15" t="s">
        <v>431</v>
      </c>
      <c r="C4" s="15" t="str">
        <f aca="false">IFERROR(INDEX('Method &amp; Notes'!$B$24:$B$34,MATCH(B4,'Method &amp; Notes'!$A$24:$A$34,0)),"")</f>
        <v>Marketplaces and booking platforms</v>
      </c>
      <c r="D4" s="15" t="s">
        <v>438</v>
      </c>
      <c r="E4" s="16" t="s">
        <v>439</v>
      </c>
      <c r="F4" s="15" t="s">
        <v>440</v>
      </c>
    </row>
    <row r="5" customFormat="false" ht="15" hidden="false" customHeight="false" outlineLevel="0" collapsed="false">
      <c r="A5" s="15" t="s">
        <v>15</v>
      </c>
      <c r="B5" s="15" t="s">
        <v>441</v>
      </c>
      <c r="C5" s="15" t="str">
        <f aca="false">IFERROR(INDEX('Method &amp; Notes'!$B$24:$B$34,MATCH(B5,'Method &amp; Notes'!$A$24:$A$34,0)),"")</f>
        <v>Handyman business guides</v>
      </c>
      <c r="D5" s="15" t="s">
        <v>442</v>
      </c>
      <c r="E5" s="16" t="s">
        <v>443</v>
      </c>
      <c r="F5" s="15" t="s">
        <v>444</v>
      </c>
    </row>
    <row r="6" customFormat="false" ht="23.85" hidden="false" customHeight="false" outlineLevel="0" collapsed="false">
      <c r="A6" s="15" t="s">
        <v>15</v>
      </c>
      <c r="B6" s="15" t="s">
        <v>441</v>
      </c>
      <c r="C6" s="15" t="str">
        <f aca="false">IFERROR(INDEX('Method &amp; Notes'!$B$24:$B$34,MATCH(B6,'Method &amp; Notes'!$A$24:$A$34,0)),"")</f>
        <v>Handyman business guides</v>
      </c>
      <c r="D6" s="15" t="s">
        <v>445</v>
      </c>
      <c r="E6" s="16" t="s">
        <v>446</v>
      </c>
      <c r="F6" s="15" t="s">
        <v>447</v>
      </c>
    </row>
    <row r="7" customFormat="false" ht="23.85" hidden="false" customHeight="false" outlineLevel="0" collapsed="false">
      <c r="A7" s="15" t="s">
        <v>15</v>
      </c>
      <c r="B7" s="15" t="s">
        <v>448</v>
      </c>
      <c r="C7" s="15" t="str">
        <f aca="false">IFERROR(INDEX('Method &amp; Notes'!$B$24:$B$34,MATCH(B7,'Method &amp; Notes'!$A$24:$A$34,0)),"")</f>
        <v>Warranty claims and inspections</v>
      </c>
      <c r="D7" s="15" t="s">
        <v>449</v>
      </c>
      <c r="E7" s="16" t="s">
        <v>450</v>
      </c>
      <c r="F7" s="15" t="s">
        <v>451</v>
      </c>
    </row>
    <row r="8" customFormat="false" ht="23.85" hidden="false" customHeight="false" outlineLevel="0" collapsed="false">
      <c r="A8" s="15" t="s">
        <v>15</v>
      </c>
      <c r="B8" s="15" t="s">
        <v>452</v>
      </c>
      <c r="C8" s="15" t="str">
        <f aca="false">IFERROR(INDEX('Method &amp; Notes'!$B$24:$B$34,MATCH(B8,'Method &amp; Notes'!$A$24:$A$34,0)),"")</f>
        <v>DIY and how-to interest</v>
      </c>
      <c r="D8" s="15" t="s">
        <v>453</v>
      </c>
      <c r="E8" s="16" t="s">
        <v>454</v>
      </c>
      <c r="F8" s="15" t="s">
        <v>455</v>
      </c>
    </row>
    <row r="9" customFormat="false" ht="23.85" hidden="false" customHeight="false" outlineLevel="0" collapsed="false">
      <c r="A9" s="15" t="s">
        <v>15</v>
      </c>
      <c r="B9" s="15" t="s">
        <v>452</v>
      </c>
      <c r="C9" s="15" t="str">
        <f aca="false">IFERROR(INDEX('Method &amp; Notes'!$B$24:$B$34,MATCH(B9,'Method &amp; Notes'!$A$24:$A$34,0)),"")</f>
        <v>DIY and how-to interest</v>
      </c>
      <c r="D9" s="15" t="s">
        <v>456</v>
      </c>
      <c r="E9" s="16" t="s">
        <v>457</v>
      </c>
      <c r="F9" s="15" t="s">
        <v>458</v>
      </c>
    </row>
    <row r="10" customFormat="false" ht="23.85" hidden="false" customHeight="false" outlineLevel="0" collapsed="false">
      <c r="A10" s="15" t="s">
        <v>15</v>
      </c>
      <c r="B10" s="15" t="s">
        <v>459</v>
      </c>
      <c r="C10" s="15" t="str">
        <f aca="false">IFERROR(INDEX('Method &amp; Notes'!$B$24:$B$34,MATCH(B10,'Method &amp; Notes'!$A$24:$A$34,0)),"")</f>
        <v>Rental and property maintenance requests</v>
      </c>
      <c r="D10" s="15" t="s">
        <v>460</v>
      </c>
      <c r="E10" s="16" t="s">
        <v>461</v>
      </c>
      <c r="F10" s="15" t="s">
        <v>462</v>
      </c>
    </row>
    <row r="11" customFormat="false" ht="23.85" hidden="false" customHeight="false" outlineLevel="0" collapsed="false">
      <c r="A11" s="15" t="s">
        <v>15</v>
      </c>
      <c r="B11" s="15" t="s">
        <v>463</v>
      </c>
      <c r="C11" s="15" t="str">
        <f aca="false">IFERROR(INDEX('Method &amp; Notes'!$B$24:$B$34,MATCH(B11,'Method &amp; Notes'!$A$24:$A$34,0)),"")</f>
        <v>Memberships, concierge and retailer services</v>
      </c>
      <c r="D11" s="15" t="s">
        <v>464</v>
      </c>
      <c r="E11" s="16" t="s">
        <v>465</v>
      </c>
      <c r="F11" s="15" t="s">
        <v>466</v>
      </c>
    </row>
    <row r="12" customFormat="false" ht="15" hidden="false" customHeight="false" outlineLevel="0" collapsed="false">
      <c r="A12" s="15" t="s">
        <v>15</v>
      </c>
      <c r="B12" s="15" t="s">
        <v>467</v>
      </c>
      <c r="C12" s="15" t="str">
        <f aca="false">IFERROR(INDEX('Method &amp; Notes'!$B$24:$B$34,MATCH(B12,'Method &amp; Notes'!$A$24:$A$34,0)),"")</f>
        <v>Time, cost and scope guides</v>
      </c>
      <c r="D12" s="15" t="s">
        <v>468</v>
      </c>
      <c r="E12" s="16" t="s">
        <v>469</v>
      </c>
      <c r="F12" s="15" t="s">
        <v>470</v>
      </c>
    </row>
    <row r="13" customFormat="false" ht="15" hidden="false" customHeight="false" outlineLevel="0" collapsed="false">
      <c r="A13" s="15" t="s">
        <v>15</v>
      </c>
      <c r="B13" s="15" t="s">
        <v>467</v>
      </c>
      <c r="C13" s="15" t="str">
        <f aca="false">IFERROR(INDEX('Method &amp; Notes'!$B$24:$B$34,MATCH(B13,'Method &amp; Notes'!$A$24:$A$34,0)),"")</f>
        <v>Time, cost and scope guides</v>
      </c>
      <c r="D13" s="15" t="s">
        <v>471</v>
      </c>
      <c r="E13" s="16" t="s">
        <v>472</v>
      </c>
      <c r="F13" s="15" t="s">
        <v>473</v>
      </c>
    </row>
    <row r="14" customFormat="false" ht="15" hidden="false" customHeight="false" outlineLevel="0" collapsed="false">
      <c r="A14" s="15" t="s">
        <v>15</v>
      </c>
      <c r="B14" s="15" t="s">
        <v>467</v>
      </c>
      <c r="C14" s="15" t="str">
        <f aca="false">IFERROR(INDEX('Method &amp; Notes'!$B$24:$B$34,MATCH(B14,'Method &amp; Notes'!$A$24:$A$34,0)),"")</f>
        <v>Time, cost and scope guides</v>
      </c>
      <c r="D14" s="15" t="s">
        <v>474</v>
      </c>
      <c r="E14" s="16" t="s">
        <v>475</v>
      </c>
      <c r="F14" s="15" t="s">
        <v>476</v>
      </c>
    </row>
    <row r="15" customFormat="false" ht="23.85" hidden="false" customHeight="false" outlineLevel="0" collapsed="false">
      <c r="A15" s="15" t="s">
        <v>15</v>
      </c>
      <c r="B15" s="15" t="s">
        <v>477</v>
      </c>
      <c r="C15" s="15" t="str">
        <f aca="false">IFERROR(INDEX('Method &amp; Notes'!$B$24:$B$34,MATCH(B15,'Method &amp; Notes'!$A$24:$A$34,0)),"")</f>
        <v>Regional, seasonal and emerging demand</v>
      </c>
      <c r="D15" s="15" t="s">
        <v>478</v>
      </c>
      <c r="E15" s="16" t="s">
        <v>443</v>
      </c>
      <c r="F15" s="15" t="s">
        <v>479</v>
      </c>
    </row>
    <row r="16" customFormat="false" ht="23.85" hidden="false" customHeight="false" outlineLevel="0" collapsed="false">
      <c r="A16" s="15" t="s">
        <v>15</v>
      </c>
      <c r="B16" s="15" t="s">
        <v>477</v>
      </c>
      <c r="C16" s="15" t="str">
        <f aca="false">IFERROR(INDEX('Method &amp; Notes'!$B$24:$B$34,MATCH(B16,'Method &amp; Notes'!$A$24:$A$34,0)),"")</f>
        <v>Regional, seasonal and emerging demand</v>
      </c>
      <c r="D16" s="15" t="s">
        <v>480</v>
      </c>
      <c r="E16" s="16" t="s">
        <v>481</v>
      </c>
      <c r="F16" s="15" t="s">
        <v>482</v>
      </c>
    </row>
    <row r="17" customFormat="false" ht="23.85" hidden="false" customHeight="false" outlineLevel="0" collapsed="false">
      <c r="A17" s="15" t="s">
        <v>15</v>
      </c>
      <c r="B17" s="15" t="s">
        <v>477</v>
      </c>
      <c r="C17" s="15" t="str">
        <f aca="false">IFERROR(INDEX('Method &amp; Notes'!$B$24:$B$34,MATCH(B17,'Method &amp; Notes'!$A$24:$A$34,0)),"")</f>
        <v>Regional, seasonal and emerging demand</v>
      </c>
      <c r="D17" s="15" t="s">
        <v>483</v>
      </c>
      <c r="E17" s="16" t="s">
        <v>484</v>
      </c>
      <c r="F17" s="15" t="s">
        <v>485</v>
      </c>
    </row>
    <row r="18" customFormat="false" ht="23.85" hidden="false" customHeight="false" outlineLevel="0" collapsed="false">
      <c r="A18" s="15" t="s">
        <v>15</v>
      </c>
      <c r="B18" s="15" t="s">
        <v>486</v>
      </c>
      <c r="C18" s="15" t="str">
        <f aca="false">IFERROR(INDEX('Method &amp; Notes'!$B$24:$B$34,MATCH(B18,'Method &amp; Notes'!$A$24:$A$34,0)),"")</f>
        <v>Search demand</v>
      </c>
      <c r="D18" s="15" t="s">
        <v>487</v>
      </c>
      <c r="E18" s="16" t="s">
        <v>488</v>
      </c>
      <c r="F18" s="15" t="s">
        <v>489</v>
      </c>
    </row>
    <row r="19" customFormat="false" ht="15" hidden="false" customHeight="false" outlineLevel="0" collapsed="false">
      <c r="A19" s="15" t="s">
        <v>22</v>
      </c>
      <c r="B19" s="15" t="s">
        <v>431</v>
      </c>
      <c r="C19" s="15" t="str">
        <f aca="false">IFERROR(INDEX('Method &amp; Notes'!$B$24:$B$34,MATCH(B19,'Method &amp; Notes'!$A$24:$A$34,0)),"")</f>
        <v>Marketplaces and booking platforms</v>
      </c>
      <c r="D19" s="15" t="s">
        <v>432</v>
      </c>
      <c r="E19" s="16" t="s">
        <v>490</v>
      </c>
      <c r="F19" s="15" t="s">
        <v>491</v>
      </c>
    </row>
    <row r="20" customFormat="false" ht="15" hidden="false" customHeight="false" outlineLevel="0" collapsed="false">
      <c r="A20" s="15" t="s">
        <v>22</v>
      </c>
      <c r="B20" s="15" t="s">
        <v>431</v>
      </c>
      <c r="C20" s="15" t="str">
        <f aca="false">IFERROR(INDEX('Method &amp; Notes'!$B$24:$B$34,MATCH(B20,'Method &amp; Notes'!$A$24:$A$34,0)),"")</f>
        <v>Marketplaces and booking platforms</v>
      </c>
      <c r="D20" s="15" t="s">
        <v>435</v>
      </c>
      <c r="E20" s="16" t="s">
        <v>492</v>
      </c>
      <c r="F20" s="15" t="s">
        <v>493</v>
      </c>
    </row>
    <row r="21" customFormat="false" ht="15" hidden="false" customHeight="false" outlineLevel="0" collapsed="false">
      <c r="A21" s="15" t="s">
        <v>22</v>
      </c>
      <c r="B21" s="15" t="s">
        <v>431</v>
      </c>
      <c r="C21" s="15" t="str">
        <f aca="false">IFERROR(INDEX('Method &amp; Notes'!$B$24:$B$34,MATCH(B21,'Method &amp; Notes'!$A$24:$A$34,0)),"")</f>
        <v>Marketplaces and booking platforms</v>
      </c>
      <c r="D21" s="15" t="s">
        <v>468</v>
      </c>
      <c r="E21" s="16" t="s">
        <v>494</v>
      </c>
      <c r="F21" s="15" t="s">
        <v>495</v>
      </c>
    </row>
    <row r="22" customFormat="false" ht="15" hidden="false" customHeight="false" outlineLevel="0" collapsed="false">
      <c r="A22" s="15" t="s">
        <v>22</v>
      </c>
      <c r="B22" s="15" t="s">
        <v>441</v>
      </c>
      <c r="C22" s="15" t="str">
        <f aca="false">IFERROR(INDEX('Method &amp; Notes'!$B$24:$B$34,MATCH(B22,'Method &amp; Notes'!$A$24:$A$34,0)),"")</f>
        <v>Handyman business guides</v>
      </c>
      <c r="D22" s="15" t="s">
        <v>496</v>
      </c>
      <c r="E22" s="16" t="s">
        <v>497</v>
      </c>
      <c r="F22" s="15" t="s">
        <v>498</v>
      </c>
    </row>
    <row r="23" customFormat="false" ht="15" hidden="false" customHeight="false" outlineLevel="0" collapsed="false">
      <c r="A23" s="15" t="s">
        <v>22</v>
      </c>
      <c r="B23" s="15" t="s">
        <v>441</v>
      </c>
      <c r="C23" s="15" t="str">
        <f aca="false">IFERROR(INDEX('Method &amp; Notes'!$B$24:$B$34,MATCH(B23,'Method &amp; Notes'!$A$24:$A$34,0)),"")</f>
        <v>Handyman business guides</v>
      </c>
      <c r="D23" s="15" t="s">
        <v>499</v>
      </c>
      <c r="E23" s="16" t="s">
        <v>500</v>
      </c>
      <c r="F23" s="15" t="s">
        <v>501</v>
      </c>
    </row>
    <row r="24" customFormat="false" ht="23.85" hidden="false" customHeight="false" outlineLevel="0" collapsed="false">
      <c r="A24" s="15" t="s">
        <v>22</v>
      </c>
      <c r="B24" s="15" t="s">
        <v>448</v>
      </c>
      <c r="C24" s="15" t="str">
        <f aca="false">IFERROR(INDEX('Method &amp; Notes'!$B$24:$B$34,MATCH(B24,'Method &amp; Notes'!$A$24:$A$34,0)),"")</f>
        <v>Warranty claims and inspections</v>
      </c>
      <c r="D24" s="15" t="s">
        <v>502</v>
      </c>
      <c r="E24" s="16" t="s">
        <v>503</v>
      </c>
      <c r="F24" s="15" t="s">
        <v>504</v>
      </c>
    </row>
    <row r="25" customFormat="false" ht="35.05" hidden="false" customHeight="false" outlineLevel="0" collapsed="false">
      <c r="A25" s="15" t="s">
        <v>22</v>
      </c>
      <c r="B25" s="15" t="s">
        <v>452</v>
      </c>
      <c r="C25" s="15" t="str">
        <f aca="false">IFERROR(INDEX('Method &amp; Notes'!$B$24:$B$34,MATCH(B25,'Method &amp; Notes'!$A$24:$A$34,0)),"")</f>
        <v>DIY and how-to interest</v>
      </c>
      <c r="D25" s="15" t="s">
        <v>505</v>
      </c>
      <c r="E25" s="16" t="s">
        <v>506</v>
      </c>
      <c r="F25" s="15" t="s">
        <v>507</v>
      </c>
    </row>
    <row r="26" customFormat="false" ht="23.85" hidden="false" customHeight="false" outlineLevel="0" collapsed="false">
      <c r="A26" s="15" t="s">
        <v>22</v>
      </c>
      <c r="B26" s="15" t="s">
        <v>459</v>
      </c>
      <c r="C26" s="15" t="str">
        <f aca="false">IFERROR(INDEX('Method &amp; Notes'!$B$24:$B$34,MATCH(B26,'Method &amp; Notes'!$A$24:$A$34,0)),"")</f>
        <v>Rental and property maintenance requests</v>
      </c>
      <c r="D26" s="15" t="s">
        <v>508</v>
      </c>
      <c r="E26" s="16" t="s">
        <v>509</v>
      </c>
      <c r="F26" s="15" t="s">
        <v>510</v>
      </c>
    </row>
    <row r="27" customFormat="false" ht="23.85" hidden="false" customHeight="false" outlineLevel="0" collapsed="false">
      <c r="A27" s="15" t="s">
        <v>22</v>
      </c>
      <c r="B27" s="15" t="s">
        <v>463</v>
      </c>
      <c r="C27" s="15" t="str">
        <f aca="false">IFERROR(INDEX('Method &amp; Notes'!$B$24:$B$34,MATCH(B27,'Method &amp; Notes'!$A$24:$A$34,0)),"")</f>
        <v>Memberships, concierge and retailer services</v>
      </c>
      <c r="D27" s="15" t="s">
        <v>511</v>
      </c>
      <c r="E27" s="16" t="s">
        <v>512</v>
      </c>
      <c r="F27" s="15" t="s">
        <v>513</v>
      </c>
    </row>
    <row r="28" customFormat="false" ht="23.85" hidden="false" customHeight="false" outlineLevel="0" collapsed="false">
      <c r="A28" s="15" t="s">
        <v>22</v>
      </c>
      <c r="B28" s="15" t="s">
        <v>463</v>
      </c>
      <c r="C28" s="15" t="str">
        <f aca="false">IFERROR(INDEX('Method &amp; Notes'!$B$24:$B$34,MATCH(B28,'Method &amp; Notes'!$A$24:$A$34,0)),"")</f>
        <v>Memberships, concierge and retailer services</v>
      </c>
      <c r="D28" s="15" t="s">
        <v>514</v>
      </c>
      <c r="E28" s="16" t="s">
        <v>515</v>
      </c>
      <c r="F28" s="15" t="s">
        <v>516</v>
      </c>
    </row>
    <row r="29" customFormat="false" ht="23.85" hidden="false" customHeight="false" outlineLevel="0" collapsed="false">
      <c r="A29" s="15" t="s">
        <v>22</v>
      </c>
      <c r="B29" s="15" t="s">
        <v>467</v>
      </c>
      <c r="C29" s="15" t="str">
        <f aca="false">IFERROR(INDEX('Method &amp; Notes'!$B$24:$B$34,MATCH(B29,'Method &amp; Notes'!$A$24:$A$34,0)),"")</f>
        <v>Time, cost and scope guides</v>
      </c>
      <c r="D29" s="15" t="s">
        <v>468</v>
      </c>
      <c r="E29" s="16" t="s">
        <v>494</v>
      </c>
      <c r="F29" s="15" t="s">
        <v>517</v>
      </c>
    </row>
    <row r="30" customFormat="false" ht="15" hidden="false" customHeight="false" outlineLevel="0" collapsed="false">
      <c r="A30" s="15" t="s">
        <v>22</v>
      </c>
      <c r="B30" s="15" t="s">
        <v>467</v>
      </c>
      <c r="C30" s="15" t="str">
        <f aca="false">IFERROR(INDEX('Method &amp; Notes'!$B$24:$B$34,MATCH(B30,'Method &amp; Notes'!$A$24:$A$34,0)),"")</f>
        <v>Time, cost and scope guides</v>
      </c>
      <c r="D30" s="15" t="s">
        <v>468</v>
      </c>
      <c r="E30" s="16" t="s">
        <v>518</v>
      </c>
      <c r="F30" s="15" t="s">
        <v>519</v>
      </c>
    </row>
    <row r="31" customFormat="false" ht="23.85" hidden="false" customHeight="false" outlineLevel="0" collapsed="false">
      <c r="A31" s="15" t="s">
        <v>22</v>
      </c>
      <c r="B31" s="15" t="s">
        <v>467</v>
      </c>
      <c r="C31" s="15" t="str">
        <f aca="false">IFERROR(INDEX('Method &amp; Notes'!$B$24:$B$34,MATCH(B31,'Method &amp; Notes'!$A$24:$A$34,0)),"")</f>
        <v>Time, cost and scope guides</v>
      </c>
      <c r="D31" s="15" t="s">
        <v>520</v>
      </c>
      <c r="E31" s="16" t="s">
        <v>521</v>
      </c>
      <c r="F31" s="15" t="s">
        <v>522</v>
      </c>
    </row>
    <row r="32" customFormat="false" ht="15" hidden="false" customHeight="false" outlineLevel="0" collapsed="false">
      <c r="A32" s="15" t="s">
        <v>22</v>
      </c>
      <c r="B32" s="15" t="s">
        <v>467</v>
      </c>
      <c r="C32" s="15" t="str">
        <f aca="false">IFERROR(INDEX('Method &amp; Notes'!$B$24:$B$34,MATCH(B32,'Method &amp; Notes'!$A$24:$A$34,0)),"")</f>
        <v>Time, cost and scope guides</v>
      </c>
      <c r="D32" s="15" t="s">
        <v>496</v>
      </c>
      <c r="E32" s="16" t="s">
        <v>523</v>
      </c>
      <c r="F32" s="15" t="s">
        <v>524</v>
      </c>
    </row>
    <row r="33" customFormat="false" ht="15" hidden="false" customHeight="false" outlineLevel="0" collapsed="false">
      <c r="A33" s="15" t="s">
        <v>22</v>
      </c>
      <c r="B33" s="15" t="s">
        <v>467</v>
      </c>
      <c r="C33" s="15" t="str">
        <f aca="false">IFERROR(INDEX('Method &amp; Notes'!$B$24:$B$34,MATCH(B33,'Method &amp; Notes'!$A$24:$A$34,0)),"")</f>
        <v>Time, cost and scope guides</v>
      </c>
      <c r="D33" s="15" t="s">
        <v>525</v>
      </c>
      <c r="E33" s="16" t="s">
        <v>526</v>
      </c>
      <c r="F33" s="15" t="s">
        <v>527</v>
      </c>
    </row>
    <row r="34" customFormat="false" ht="15" hidden="false" customHeight="false" outlineLevel="0" collapsed="false">
      <c r="A34" s="15" t="s">
        <v>22</v>
      </c>
      <c r="B34" s="15" t="s">
        <v>467</v>
      </c>
      <c r="C34" s="15" t="str">
        <f aca="false">IFERROR(INDEX('Method &amp; Notes'!$B$24:$B$34,MATCH(B34,'Method &amp; Notes'!$A$24:$A$34,0)),"")</f>
        <v>Time, cost and scope guides</v>
      </c>
      <c r="D34" s="15" t="s">
        <v>432</v>
      </c>
      <c r="E34" s="16" t="s">
        <v>528</v>
      </c>
      <c r="F34" s="15" t="s">
        <v>529</v>
      </c>
    </row>
    <row r="35" customFormat="false" ht="23.85" hidden="false" customHeight="false" outlineLevel="0" collapsed="false">
      <c r="A35" s="15" t="s">
        <v>22</v>
      </c>
      <c r="B35" s="15" t="s">
        <v>477</v>
      </c>
      <c r="C35" s="15" t="str">
        <f aca="false">IFERROR(INDEX('Method &amp; Notes'!$B$24:$B$34,MATCH(B35,'Method &amp; Notes'!$A$24:$A$34,0)),"")</f>
        <v>Regional, seasonal and emerging demand</v>
      </c>
      <c r="D35" s="15" t="s">
        <v>483</v>
      </c>
      <c r="E35" s="16" t="s">
        <v>484</v>
      </c>
      <c r="F35" s="15" t="s">
        <v>530</v>
      </c>
    </row>
    <row r="36" customFormat="false" ht="23.85" hidden="false" customHeight="false" outlineLevel="0" collapsed="false">
      <c r="A36" s="15" t="s">
        <v>22</v>
      </c>
      <c r="B36" s="15" t="s">
        <v>486</v>
      </c>
      <c r="C36" s="15" t="str">
        <f aca="false">IFERROR(INDEX('Method &amp; Notes'!$B$24:$B$34,MATCH(B36,'Method &amp; Notes'!$A$24:$A$34,0)),"")</f>
        <v>Search demand</v>
      </c>
      <c r="D36" s="15" t="s">
        <v>531</v>
      </c>
      <c r="E36" s="16" t="s">
        <v>532</v>
      </c>
      <c r="F36" s="15" t="s">
        <v>533</v>
      </c>
    </row>
    <row r="37" customFormat="false" ht="15" hidden="false" customHeight="false" outlineLevel="0" collapsed="false">
      <c r="A37" s="15" t="s">
        <v>29</v>
      </c>
      <c r="B37" s="15" t="s">
        <v>431</v>
      </c>
      <c r="C37" s="15" t="str">
        <f aca="false">IFERROR(INDEX('Method &amp; Notes'!$B$24:$B$34,MATCH(B37,'Method &amp; Notes'!$A$24:$A$34,0)),"")</f>
        <v>Marketplaces and booking platforms</v>
      </c>
      <c r="D37" s="15" t="s">
        <v>432</v>
      </c>
      <c r="E37" s="16" t="s">
        <v>534</v>
      </c>
      <c r="F37" s="15" t="s">
        <v>535</v>
      </c>
    </row>
    <row r="38" customFormat="false" ht="15" hidden="false" customHeight="false" outlineLevel="0" collapsed="false">
      <c r="A38" s="15" t="s">
        <v>29</v>
      </c>
      <c r="B38" s="15" t="s">
        <v>431</v>
      </c>
      <c r="C38" s="15" t="str">
        <f aca="false">IFERROR(INDEX('Method &amp; Notes'!$B$24:$B$34,MATCH(B38,'Method &amp; Notes'!$A$24:$A$34,0)),"")</f>
        <v>Marketplaces and booking platforms</v>
      </c>
      <c r="D38" s="15" t="s">
        <v>468</v>
      </c>
      <c r="E38" s="16" t="s">
        <v>536</v>
      </c>
      <c r="F38" s="15" t="s">
        <v>537</v>
      </c>
    </row>
    <row r="39" customFormat="false" ht="15" hidden="false" customHeight="false" outlineLevel="0" collapsed="false">
      <c r="A39" s="15" t="s">
        <v>29</v>
      </c>
      <c r="B39" s="15" t="s">
        <v>431</v>
      </c>
      <c r="C39" s="15" t="str">
        <f aca="false">IFERROR(INDEX('Method &amp; Notes'!$B$24:$B$34,MATCH(B39,'Method &amp; Notes'!$A$24:$A$34,0)),"")</f>
        <v>Marketplaces and booking platforms</v>
      </c>
      <c r="D39" s="15" t="s">
        <v>435</v>
      </c>
      <c r="E39" s="16" t="s">
        <v>538</v>
      </c>
      <c r="F39" s="15" t="s">
        <v>539</v>
      </c>
    </row>
    <row r="40" customFormat="false" ht="15" hidden="false" customHeight="false" outlineLevel="0" collapsed="false">
      <c r="A40" s="15" t="s">
        <v>29</v>
      </c>
      <c r="B40" s="15" t="s">
        <v>441</v>
      </c>
      <c r="C40" s="15" t="str">
        <f aca="false">IFERROR(INDEX('Method &amp; Notes'!$B$24:$B$34,MATCH(B40,'Method &amp; Notes'!$A$24:$A$34,0)),"")</f>
        <v>Handyman business guides</v>
      </c>
      <c r="D40" s="15" t="s">
        <v>442</v>
      </c>
      <c r="E40" s="16" t="s">
        <v>443</v>
      </c>
      <c r="F40" s="15" t="s">
        <v>540</v>
      </c>
    </row>
    <row r="41" customFormat="false" ht="23.85" hidden="false" customHeight="false" outlineLevel="0" collapsed="false">
      <c r="A41" s="15" t="s">
        <v>29</v>
      </c>
      <c r="B41" s="15" t="s">
        <v>441</v>
      </c>
      <c r="C41" s="15" t="str">
        <f aca="false">IFERROR(INDEX('Method &amp; Notes'!$B$24:$B$34,MATCH(B41,'Method &amp; Notes'!$A$24:$A$34,0)),"")</f>
        <v>Handyman business guides</v>
      </c>
      <c r="D41" s="15" t="s">
        <v>541</v>
      </c>
      <c r="E41" s="16" t="s">
        <v>542</v>
      </c>
      <c r="F41" s="15" t="s">
        <v>543</v>
      </c>
    </row>
    <row r="42" customFormat="false" ht="15" hidden="false" customHeight="false" outlineLevel="0" collapsed="false">
      <c r="A42" s="15" t="s">
        <v>29</v>
      </c>
      <c r="B42" s="15" t="s">
        <v>441</v>
      </c>
      <c r="C42" s="15" t="str">
        <f aca="false">IFERROR(INDEX('Method &amp; Notes'!$B$24:$B$34,MATCH(B42,'Method &amp; Notes'!$A$24:$A$34,0)),"")</f>
        <v>Handyman business guides</v>
      </c>
      <c r="D42" s="15" t="s">
        <v>499</v>
      </c>
      <c r="E42" s="16" t="s">
        <v>500</v>
      </c>
      <c r="F42" s="15" t="s">
        <v>544</v>
      </c>
    </row>
    <row r="43" customFormat="false" ht="15" hidden="false" customHeight="false" outlineLevel="0" collapsed="false">
      <c r="A43" s="15" t="s">
        <v>29</v>
      </c>
      <c r="B43" s="15" t="s">
        <v>448</v>
      </c>
      <c r="C43" s="15" t="str">
        <f aca="false">IFERROR(INDEX('Method &amp; Notes'!$B$24:$B$34,MATCH(B43,'Method &amp; Notes'!$A$24:$A$34,0)),"")</f>
        <v>Warranty claims and inspections</v>
      </c>
      <c r="D43" s="15" t="s">
        <v>545</v>
      </c>
      <c r="E43" s="16" t="s">
        <v>546</v>
      </c>
      <c r="F43" s="15" t="s">
        <v>547</v>
      </c>
    </row>
    <row r="44" customFormat="false" ht="35.05" hidden="false" customHeight="false" outlineLevel="0" collapsed="false">
      <c r="A44" s="15" t="s">
        <v>29</v>
      </c>
      <c r="B44" s="15" t="s">
        <v>452</v>
      </c>
      <c r="C44" s="15" t="str">
        <f aca="false">IFERROR(INDEX('Method &amp; Notes'!$B$24:$B$34,MATCH(B44,'Method &amp; Notes'!$A$24:$A$34,0)),"")</f>
        <v>DIY and how-to interest</v>
      </c>
      <c r="D44" s="15" t="s">
        <v>548</v>
      </c>
      <c r="E44" s="16" t="s">
        <v>549</v>
      </c>
      <c r="F44" s="15" t="s">
        <v>550</v>
      </c>
    </row>
    <row r="45" customFormat="false" ht="23.85" hidden="false" customHeight="false" outlineLevel="0" collapsed="false">
      <c r="A45" s="15" t="s">
        <v>29</v>
      </c>
      <c r="B45" s="15" t="s">
        <v>459</v>
      </c>
      <c r="C45" s="15" t="str">
        <f aca="false">IFERROR(INDEX('Method &amp; Notes'!$B$24:$B$34,MATCH(B45,'Method &amp; Notes'!$A$24:$A$34,0)),"")</f>
        <v>Rental and property maintenance requests</v>
      </c>
      <c r="D45" s="15" t="s">
        <v>551</v>
      </c>
      <c r="E45" s="16" t="s">
        <v>552</v>
      </c>
      <c r="F45" s="15" t="s">
        <v>553</v>
      </c>
    </row>
    <row r="46" customFormat="false" ht="23.85" hidden="false" customHeight="false" outlineLevel="0" collapsed="false">
      <c r="A46" s="15" t="s">
        <v>29</v>
      </c>
      <c r="B46" s="15" t="s">
        <v>459</v>
      </c>
      <c r="C46" s="15" t="str">
        <f aca="false">IFERROR(INDEX('Method &amp; Notes'!$B$24:$B$34,MATCH(B46,'Method &amp; Notes'!$A$24:$A$34,0)),"")</f>
        <v>Rental and property maintenance requests</v>
      </c>
      <c r="D46" s="15" t="s">
        <v>554</v>
      </c>
      <c r="E46" s="16" t="s">
        <v>555</v>
      </c>
      <c r="F46" s="15" t="s">
        <v>556</v>
      </c>
    </row>
    <row r="47" customFormat="false" ht="23.85" hidden="false" customHeight="false" outlineLevel="0" collapsed="false">
      <c r="A47" s="15" t="s">
        <v>29</v>
      </c>
      <c r="B47" s="15" t="s">
        <v>463</v>
      </c>
      <c r="C47" s="15" t="str">
        <f aca="false">IFERROR(INDEX('Method &amp; Notes'!$B$24:$B$34,MATCH(B47,'Method &amp; Notes'!$A$24:$A$34,0)),"")</f>
        <v>Memberships, concierge and retailer services</v>
      </c>
      <c r="D47" s="15" t="s">
        <v>511</v>
      </c>
      <c r="E47" s="16" t="s">
        <v>512</v>
      </c>
      <c r="F47" s="15" t="s">
        <v>557</v>
      </c>
    </row>
    <row r="48" customFormat="false" ht="23.85" hidden="false" customHeight="false" outlineLevel="0" collapsed="false">
      <c r="A48" s="15" t="s">
        <v>29</v>
      </c>
      <c r="B48" s="15" t="s">
        <v>463</v>
      </c>
      <c r="C48" s="15" t="str">
        <f aca="false">IFERROR(INDEX('Method &amp; Notes'!$B$24:$B$34,MATCH(B48,'Method &amp; Notes'!$A$24:$A$34,0)),"")</f>
        <v>Memberships, concierge and retailer services</v>
      </c>
      <c r="D48" s="15" t="s">
        <v>558</v>
      </c>
      <c r="E48" s="16" t="s">
        <v>559</v>
      </c>
      <c r="F48" s="15" t="s">
        <v>560</v>
      </c>
    </row>
    <row r="49" customFormat="false" ht="23.85" hidden="false" customHeight="false" outlineLevel="0" collapsed="false">
      <c r="A49" s="15" t="s">
        <v>29</v>
      </c>
      <c r="B49" s="15" t="s">
        <v>467</v>
      </c>
      <c r="C49" s="15" t="str">
        <f aca="false">IFERROR(INDEX('Method &amp; Notes'!$B$24:$B$34,MATCH(B49,'Method &amp; Notes'!$A$24:$A$34,0)),"")</f>
        <v>Time, cost and scope guides</v>
      </c>
      <c r="D49" s="15" t="s">
        <v>496</v>
      </c>
      <c r="E49" s="16" t="s">
        <v>561</v>
      </c>
      <c r="F49" s="15" t="s">
        <v>562</v>
      </c>
    </row>
    <row r="50" customFormat="false" ht="23.85" hidden="false" customHeight="false" outlineLevel="0" collapsed="false">
      <c r="A50" s="15" t="s">
        <v>29</v>
      </c>
      <c r="B50" s="15" t="s">
        <v>467</v>
      </c>
      <c r="C50" s="15" t="str">
        <f aca="false">IFERROR(INDEX('Method &amp; Notes'!$B$24:$B$34,MATCH(B50,'Method &amp; Notes'!$A$24:$A$34,0)),"")</f>
        <v>Time, cost and scope guides</v>
      </c>
      <c r="D50" s="15" t="s">
        <v>468</v>
      </c>
      <c r="E50" s="16" t="s">
        <v>563</v>
      </c>
      <c r="F50" s="15" t="s">
        <v>564</v>
      </c>
    </row>
    <row r="51" customFormat="false" ht="23.85" hidden="false" customHeight="false" outlineLevel="0" collapsed="false">
      <c r="A51" s="15" t="s">
        <v>29</v>
      </c>
      <c r="B51" s="15" t="s">
        <v>467</v>
      </c>
      <c r="C51" s="15" t="str">
        <f aca="false">IFERROR(INDEX('Method &amp; Notes'!$B$24:$B$34,MATCH(B51,'Method &amp; Notes'!$A$24:$A$34,0)),"")</f>
        <v>Time, cost and scope guides</v>
      </c>
      <c r="D51" s="15" t="s">
        <v>565</v>
      </c>
      <c r="E51" s="16" t="s">
        <v>566</v>
      </c>
      <c r="F51" s="15" t="s">
        <v>567</v>
      </c>
    </row>
    <row r="52" customFormat="false" ht="23.85" hidden="false" customHeight="false" outlineLevel="0" collapsed="false">
      <c r="A52" s="15" t="s">
        <v>29</v>
      </c>
      <c r="B52" s="15" t="s">
        <v>477</v>
      </c>
      <c r="C52" s="15" t="str">
        <f aca="false">IFERROR(INDEX('Method &amp; Notes'!$B$24:$B$34,MATCH(B52,'Method &amp; Notes'!$A$24:$A$34,0)),"")</f>
        <v>Regional, seasonal and emerging demand</v>
      </c>
      <c r="D52" s="15" t="s">
        <v>478</v>
      </c>
      <c r="E52" s="16" t="s">
        <v>443</v>
      </c>
      <c r="F52" s="15" t="s">
        <v>568</v>
      </c>
    </row>
    <row r="53" customFormat="false" ht="15" hidden="false" customHeight="false" outlineLevel="0" collapsed="false">
      <c r="A53" s="15" t="s">
        <v>33</v>
      </c>
      <c r="B53" s="15" t="s">
        <v>431</v>
      </c>
      <c r="C53" s="15" t="str">
        <f aca="false">IFERROR(INDEX('Method &amp; Notes'!$B$24:$B$34,MATCH(B53,'Method &amp; Notes'!$A$24:$A$34,0)),"")</f>
        <v>Marketplaces and booking platforms</v>
      </c>
      <c r="D53" s="15" t="s">
        <v>435</v>
      </c>
      <c r="E53" s="16" t="s">
        <v>569</v>
      </c>
      <c r="F53" s="15" t="s">
        <v>570</v>
      </c>
    </row>
    <row r="54" customFormat="false" ht="15" hidden="false" customHeight="false" outlineLevel="0" collapsed="false">
      <c r="A54" s="15" t="s">
        <v>33</v>
      </c>
      <c r="B54" s="15" t="s">
        <v>431</v>
      </c>
      <c r="C54" s="15" t="str">
        <f aca="false">IFERROR(INDEX('Method &amp; Notes'!$B$24:$B$34,MATCH(B54,'Method &amp; Notes'!$A$24:$A$34,0)),"")</f>
        <v>Marketplaces and booking platforms</v>
      </c>
      <c r="D54" s="15" t="s">
        <v>435</v>
      </c>
      <c r="E54" s="16" t="s">
        <v>571</v>
      </c>
      <c r="F54" s="15" t="s">
        <v>572</v>
      </c>
    </row>
    <row r="55" customFormat="false" ht="23.85" hidden="false" customHeight="false" outlineLevel="0" collapsed="false">
      <c r="A55" s="15" t="s">
        <v>33</v>
      </c>
      <c r="B55" s="15" t="s">
        <v>441</v>
      </c>
      <c r="C55" s="15" t="str">
        <f aca="false">IFERROR(INDEX('Method &amp; Notes'!$B$24:$B$34,MATCH(B55,'Method &amp; Notes'!$A$24:$A$34,0)),"")</f>
        <v>Handyman business guides</v>
      </c>
      <c r="D55" s="15" t="s">
        <v>573</v>
      </c>
      <c r="E55" s="16" t="s">
        <v>574</v>
      </c>
      <c r="F55" s="15" t="s">
        <v>575</v>
      </c>
    </row>
    <row r="56" customFormat="false" ht="15" hidden="false" customHeight="false" outlineLevel="0" collapsed="false">
      <c r="A56" s="15" t="s">
        <v>33</v>
      </c>
      <c r="B56" s="15" t="s">
        <v>448</v>
      </c>
      <c r="C56" s="15" t="str">
        <f aca="false">IFERROR(INDEX('Method &amp; Notes'!$B$24:$B$34,MATCH(B56,'Method &amp; Notes'!$A$24:$A$34,0)),"")</f>
        <v>Warranty claims and inspections</v>
      </c>
      <c r="D56" s="15" t="s">
        <v>576</v>
      </c>
      <c r="E56" s="16" t="s">
        <v>577</v>
      </c>
      <c r="F56" s="15" t="s">
        <v>578</v>
      </c>
    </row>
    <row r="57" customFormat="false" ht="23.85" hidden="false" customHeight="false" outlineLevel="0" collapsed="false">
      <c r="A57" s="15" t="s">
        <v>33</v>
      </c>
      <c r="B57" s="15" t="s">
        <v>448</v>
      </c>
      <c r="C57" s="15" t="str">
        <f aca="false">IFERROR(INDEX('Method &amp; Notes'!$B$24:$B$34,MATCH(B57,'Method &amp; Notes'!$A$24:$A$34,0)),"")</f>
        <v>Warranty claims and inspections</v>
      </c>
      <c r="D57" s="15" t="s">
        <v>579</v>
      </c>
      <c r="E57" s="16" t="s">
        <v>580</v>
      </c>
      <c r="F57" s="15" t="s">
        <v>581</v>
      </c>
    </row>
    <row r="58" customFormat="false" ht="23.85" hidden="false" customHeight="false" outlineLevel="0" collapsed="false">
      <c r="A58" s="15" t="s">
        <v>33</v>
      </c>
      <c r="B58" s="15" t="s">
        <v>452</v>
      </c>
      <c r="C58" s="15" t="str">
        <f aca="false">IFERROR(INDEX('Method &amp; Notes'!$B$24:$B$34,MATCH(B58,'Method &amp; Notes'!$A$24:$A$34,0)),"")</f>
        <v>DIY and how-to interest</v>
      </c>
      <c r="D58" s="15" t="s">
        <v>582</v>
      </c>
      <c r="E58" s="16" t="s">
        <v>583</v>
      </c>
      <c r="F58" s="15" t="s">
        <v>584</v>
      </c>
    </row>
    <row r="59" customFormat="false" ht="23.85" hidden="false" customHeight="false" outlineLevel="0" collapsed="false">
      <c r="A59" s="15" t="s">
        <v>33</v>
      </c>
      <c r="B59" s="15" t="s">
        <v>452</v>
      </c>
      <c r="C59" s="15" t="str">
        <f aca="false">IFERROR(INDEX('Method &amp; Notes'!$B$24:$B$34,MATCH(B59,'Method &amp; Notes'!$A$24:$A$34,0)),"")</f>
        <v>DIY and how-to interest</v>
      </c>
      <c r="D59" s="15" t="s">
        <v>453</v>
      </c>
      <c r="E59" s="16" t="s">
        <v>454</v>
      </c>
      <c r="F59" s="15" t="s">
        <v>585</v>
      </c>
    </row>
    <row r="60" customFormat="false" ht="23.85" hidden="false" customHeight="false" outlineLevel="0" collapsed="false">
      <c r="A60" s="15" t="s">
        <v>33</v>
      </c>
      <c r="B60" s="15" t="s">
        <v>452</v>
      </c>
      <c r="C60" s="15" t="str">
        <f aca="false">IFERROR(INDEX('Method &amp; Notes'!$B$24:$B$34,MATCH(B60,'Method &amp; Notes'!$A$24:$A$34,0)),"")</f>
        <v>DIY and how-to interest</v>
      </c>
      <c r="D60" s="15" t="s">
        <v>586</v>
      </c>
      <c r="E60" s="16" t="s">
        <v>587</v>
      </c>
      <c r="F60" s="15" t="s">
        <v>588</v>
      </c>
    </row>
    <row r="61" customFormat="false" ht="23.85" hidden="false" customHeight="false" outlineLevel="0" collapsed="false">
      <c r="A61" s="15" t="s">
        <v>33</v>
      </c>
      <c r="B61" s="15" t="s">
        <v>459</v>
      </c>
      <c r="C61" s="15" t="str">
        <f aca="false">IFERROR(INDEX('Method &amp; Notes'!$B$24:$B$34,MATCH(B61,'Method &amp; Notes'!$A$24:$A$34,0)),"")</f>
        <v>Rental and property maintenance requests</v>
      </c>
      <c r="D61" s="15" t="s">
        <v>589</v>
      </c>
      <c r="E61" s="16" t="s">
        <v>590</v>
      </c>
      <c r="F61" s="15" t="s">
        <v>591</v>
      </c>
    </row>
    <row r="62" customFormat="false" ht="23.85" hidden="false" customHeight="false" outlineLevel="0" collapsed="false">
      <c r="A62" s="15" t="s">
        <v>33</v>
      </c>
      <c r="B62" s="15" t="s">
        <v>459</v>
      </c>
      <c r="C62" s="15" t="str">
        <f aca="false">IFERROR(INDEX('Method &amp; Notes'!$B$24:$B$34,MATCH(B62,'Method &amp; Notes'!$A$24:$A$34,0)),"")</f>
        <v>Rental and property maintenance requests</v>
      </c>
      <c r="D62" s="15" t="s">
        <v>592</v>
      </c>
      <c r="E62" s="16" t="s">
        <v>593</v>
      </c>
      <c r="F62" s="15" t="s">
        <v>594</v>
      </c>
    </row>
    <row r="63" customFormat="false" ht="23.85" hidden="false" customHeight="false" outlineLevel="0" collapsed="false">
      <c r="A63" s="15" t="s">
        <v>33</v>
      </c>
      <c r="B63" s="15" t="s">
        <v>463</v>
      </c>
      <c r="C63" s="15" t="str">
        <f aca="false">IFERROR(INDEX('Method &amp; Notes'!$B$24:$B$34,MATCH(B63,'Method &amp; Notes'!$A$24:$A$34,0)),"")</f>
        <v>Memberships, concierge and retailer services</v>
      </c>
      <c r="D63" s="15" t="s">
        <v>595</v>
      </c>
      <c r="E63" s="16" t="s">
        <v>596</v>
      </c>
      <c r="F63" s="15" t="s">
        <v>597</v>
      </c>
    </row>
    <row r="64" customFormat="false" ht="23.85" hidden="false" customHeight="false" outlineLevel="0" collapsed="false">
      <c r="A64" s="15" t="s">
        <v>33</v>
      </c>
      <c r="B64" s="15" t="s">
        <v>463</v>
      </c>
      <c r="C64" s="15" t="str">
        <f aca="false">IFERROR(INDEX('Method &amp; Notes'!$B$24:$B$34,MATCH(B64,'Method &amp; Notes'!$A$24:$A$34,0)),"")</f>
        <v>Memberships, concierge and retailer services</v>
      </c>
      <c r="D64" s="15" t="s">
        <v>598</v>
      </c>
      <c r="E64" s="16" t="s">
        <v>599</v>
      </c>
      <c r="F64" s="15" t="s">
        <v>600</v>
      </c>
    </row>
    <row r="65" customFormat="false" ht="23.85" hidden="false" customHeight="false" outlineLevel="0" collapsed="false">
      <c r="A65" s="15" t="s">
        <v>33</v>
      </c>
      <c r="B65" s="15" t="s">
        <v>467</v>
      </c>
      <c r="C65" s="15" t="str">
        <f aca="false">IFERROR(INDEX('Method &amp; Notes'!$B$24:$B$34,MATCH(B65,'Method &amp; Notes'!$A$24:$A$34,0)),"")</f>
        <v>Time, cost and scope guides</v>
      </c>
      <c r="D65" s="15" t="s">
        <v>601</v>
      </c>
      <c r="E65" s="16" t="s">
        <v>602</v>
      </c>
      <c r="F65" s="15" t="s">
        <v>603</v>
      </c>
    </row>
    <row r="66" customFormat="false" ht="15" hidden="false" customHeight="false" outlineLevel="0" collapsed="false">
      <c r="A66" s="15" t="s">
        <v>33</v>
      </c>
      <c r="B66" s="15" t="s">
        <v>467</v>
      </c>
      <c r="C66" s="15" t="str">
        <f aca="false">IFERROR(INDEX('Method &amp; Notes'!$B$24:$B$34,MATCH(B66,'Method &amp; Notes'!$A$24:$A$34,0)),"")</f>
        <v>Time, cost and scope guides</v>
      </c>
      <c r="D66" s="15" t="s">
        <v>604</v>
      </c>
      <c r="E66" s="16" t="s">
        <v>605</v>
      </c>
      <c r="F66" s="15" t="s">
        <v>606</v>
      </c>
    </row>
    <row r="67" customFormat="false" ht="15" hidden="false" customHeight="false" outlineLevel="0" collapsed="false">
      <c r="A67" s="15" t="s">
        <v>33</v>
      </c>
      <c r="B67" s="15" t="s">
        <v>467</v>
      </c>
      <c r="C67" s="15" t="str">
        <f aca="false">IFERROR(INDEX('Method &amp; Notes'!$B$24:$B$34,MATCH(B67,'Method &amp; Notes'!$A$24:$A$34,0)),"")</f>
        <v>Time, cost and scope guides</v>
      </c>
      <c r="D67" s="15" t="s">
        <v>607</v>
      </c>
      <c r="E67" s="16" t="s">
        <v>608</v>
      </c>
      <c r="F67" s="15" t="s">
        <v>609</v>
      </c>
    </row>
    <row r="68" customFormat="false" ht="15" hidden="false" customHeight="false" outlineLevel="0" collapsed="false">
      <c r="A68" s="15" t="s">
        <v>33</v>
      </c>
      <c r="B68" s="15" t="s">
        <v>467</v>
      </c>
      <c r="C68" s="15" t="str">
        <f aca="false">IFERROR(INDEX('Method &amp; Notes'!$B$24:$B$34,MATCH(B68,'Method &amp; Notes'!$A$24:$A$34,0)),"")</f>
        <v>Time, cost and scope guides</v>
      </c>
      <c r="D68" s="15" t="s">
        <v>610</v>
      </c>
      <c r="E68" s="16" t="s">
        <v>611</v>
      </c>
      <c r="F68" s="15" t="s">
        <v>612</v>
      </c>
    </row>
    <row r="69" customFormat="false" ht="15" hidden="false" customHeight="false" outlineLevel="0" collapsed="false">
      <c r="A69" s="15" t="s">
        <v>33</v>
      </c>
      <c r="B69" s="15" t="s">
        <v>467</v>
      </c>
      <c r="C69" s="15" t="str">
        <f aca="false">IFERROR(INDEX('Method &amp; Notes'!$B$24:$B$34,MATCH(B69,'Method &amp; Notes'!$A$24:$A$34,0)),"")</f>
        <v>Time, cost and scope guides</v>
      </c>
      <c r="D69" s="15" t="s">
        <v>613</v>
      </c>
      <c r="E69" s="16" t="s">
        <v>614</v>
      </c>
      <c r="F69" s="15" t="s">
        <v>615</v>
      </c>
    </row>
    <row r="70" customFormat="false" ht="23.85" hidden="false" customHeight="false" outlineLevel="0" collapsed="false">
      <c r="A70" s="15" t="s">
        <v>33</v>
      </c>
      <c r="B70" s="15" t="s">
        <v>486</v>
      </c>
      <c r="C70" s="15" t="str">
        <f aca="false">IFERROR(INDEX('Method &amp; Notes'!$B$24:$B$34,MATCH(B70,'Method &amp; Notes'!$A$24:$A$34,0)),"")</f>
        <v>Search demand</v>
      </c>
      <c r="D70" s="15" t="s">
        <v>616</v>
      </c>
      <c r="E70" s="16" t="s">
        <v>617</v>
      </c>
      <c r="F70" s="15" t="s">
        <v>618</v>
      </c>
    </row>
    <row r="71" customFormat="false" ht="15" hidden="false" customHeight="false" outlineLevel="0" collapsed="false">
      <c r="A71" s="15" t="s">
        <v>39</v>
      </c>
      <c r="B71" s="15" t="s">
        <v>431</v>
      </c>
      <c r="C71" s="15" t="str">
        <f aca="false">IFERROR(INDEX('Method &amp; Notes'!$B$24:$B$34,MATCH(B71,'Method &amp; Notes'!$A$24:$A$34,0)),"")</f>
        <v>Marketplaces and booking platforms</v>
      </c>
      <c r="D71" s="15" t="s">
        <v>619</v>
      </c>
      <c r="E71" s="16" t="s">
        <v>620</v>
      </c>
      <c r="F71" s="15" t="s">
        <v>621</v>
      </c>
    </row>
    <row r="72" customFormat="false" ht="23.85" hidden="false" customHeight="false" outlineLevel="0" collapsed="false">
      <c r="A72" s="15" t="s">
        <v>39</v>
      </c>
      <c r="B72" s="15" t="s">
        <v>431</v>
      </c>
      <c r="C72" s="15" t="str">
        <f aca="false">IFERROR(INDEX('Method &amp; Notes'!$B$24:$B$34,MATCH(B72,'Method &amp; Notes'!$A$24:$A$34,0)),"")</f>
        <v>Marketplaces and booking platforms</v>
      </c>
      <c r="D72" s="15" t="s">
        <v>622</v>
      </c>
      <c r="E72" s="16" t="s">
        <v>623</v>
      </c>
      <c r="F72" s="15" t="s">
        <v>624</v>
      </c>
    </row>
    <row r="73" customFormat="false" ht="15" hidden="false" customHeight="false" outlineLevel="0" collapsed="false">
      <c r="A73" s="15" t="s">
        <v>39</v>
      </c>
      <c r="B73" s="15" t="s">
        <v>441</v>
      </c>
      <c r="C73" s="15" t="str">
        <f aca="false">IFERROR(INDEX('Method &amp; Notes'!$B$24:$B$34,MATCH(B73,'Method &amp; Notes'!$A$24:$A$34,0)),"")</f>
        <v>Handyman business guides</v>
      </c>
      <c r="D73" s="15" t="s">
        <v>625</v>
      </c>
      <c r="E73" s="16" t="s">
        <v>626</v>
      </c>
      <c r="F73" s="15" t="s">
        <v>627</v>
      </c>
    </row>
    <row r="74" customFormat="false" ht="23.85" hidden="false" customHeight="false" outlineLevel="0" collapsed="false">
      <c r="A74" s="15" t="s">
        <v>39</v>
      </c>
      <c r="B74" s="15" t="s">
        <v>448</v>
      </c>
      <c r="C74" s="15" t="str">
        <f aca="false">IFERROR(INDEX('Method &amp; Notes'!$B$24:$B$34,MATCH(B74,'Method &amp; Notes'!$A$24:$A$34,0)),"")</f>
        <v>Warranty claims and inspections</v>
      </c>
      <c r="D74" s="15" t="s">
        <v>628</v>
      </c>
      <c r="E74" s="16" t="s">
        <v>629</v>
      </c>
      <c r="F74" s="15" t="s">
        <v>630</v>
      </c>
    </row>
    <row r="75" customFormat="false" ht="23.85" hidden="false" customHeight="false" outlineLevel="0" collapsed="false">
      <c r="A75" s="15" t="s">
        <v>39</v>
      </c>
      <c r="B75" s="15" t="s">
        <v>452</v>
      </c>
      <c r="C75" s="15" t="str">
        <f aca="false">IFERROR(INDEX('Method &amp; Notes'!$B$24:$B$34,MATCH(B75,'Method &amp; Notes'!$A$24:$A$34,0)),"")</f>
        <v>DIY and how-to interest</v>
      </c>
      <c r="D75" s="15" t="s">
        <v>453</v>
      </c>
      <c r="E75" s="16" t="s">
        <v>454</v>
      </c>
      <c r="F75" s="15" t="s">
        <v>631</v>
      </c>
    </row>
    <row r="76" customFormat="false" ht="23.85" hidden="false" customHeight="false" outlineLevel="0" collapsed="false">
      <c r="A76" s="15" t="s">
        <v>39</v>
      </c>
      <c r="B76" s="15" t="s">
        <v>452</v>
      </c>
      <c r="C76" s="15" t="str">
        <f aca="false">IFERROR(INDEX('Method &amp; Notes'!$B$24:$B$34,MATCH(B76,'Method &amp; Notes'!$A$24:$A$34,0)),"")</f>
        <v>DIY and how-to interest</v>
      </c>
      <c r="D76" s="15" t="s">
        <v>582</v>
      </c>
      <c r="E76" s="16" t="s">
        <v>583</v>
      </c>
      <c r="F76" s="15" t="s">
        <v>632</v>
      </c>
    </row>
    <row r="77" customFormat="false" ht="35.05" hidden="false" customHeight="false" outlineLevel="0" collapsed="false">
      <c r="A77" s="15" t="s">
        <v>39</v>
      </c>
      <c r="B77" s="15" t="s">
        <v>452</v>
      </c>
      <c r="C77" s="15" t="str">
        <f aca="false">IFERROR(INDEX('Method &amp; Notes'!$B$24:$B$34,MATCH(B77,'Method &amp; Notes'!$A$24:$A$34,0)),"")</f>
        <v>DIY and how-to interest</v>
      </c>
      <c r="D77" s="15" t="s">
        <v>548</v>
      </c>
      <c r="E77" s="16" t="s">
        <v>549</v>
      </c>
      <c r="F77" s="15" t="s">
        <v>633</v>
      </c>
    </row>
    <row r="78" customFormat="false" ht="23.85" hidden="false" customHeight="false" outlineLevel="0" collapsed="false">
      <c r="A78" s="15" t="s">
        <v>39</v>
      </c>
      <c r="B78" s="15" t="s">
        <v>459</v>
      </c>
      <c r="C78" s="15" t="str">
        <f aca="false">IFERROR(INDEX('Method &amp; Notes'!$B$24:$B$34,MATCH(B78,'Method &amp; Notes'!$A$24:$A$34,0)),"")</f>
        <v>Rental and property maintenance requests</v>
      </c>
      <c r="D78" s="15" t="s">
        <v>460</v>
      </c>
      <c r="E78" s="16" t="s">
        <v>461</v>
      </c>
      <c r="F78" s="15" t="s">
        <v>634</v>
      </c>
    </row>
    <row r="79" customFormat="false" ht="23.85" hidden="false" customHeight="false" outlineLevel="0" collapsed="false">
      <c r="A79" s="15" t="s">
        <v>39</v>
      </c>
      <c r="B79" s="15" t="s">
        <v>463</v>
      </c>
      <c r="C79" s="15" t="str">
        <f aca="false">IFERROR(INDEX('Method &amp; Notes'!$B$24:$B$34,MATCH(B79,'Method &amp; Notes'!$A$24:$A$34,0)),"")</f>
        <v>Memberships, concierge and retailer services</v>
      </c>
      <c r="D79" s="15" t="s">
        <v>635</v>
      </c>
      <c r="E79" s="16" t="s">
        <v>636</v>
      </c>
      <c r="F79" s="15" t="s">
        <v>637</v>
      </c>
    </row>
    <row r="80" customFormat="false" ht="23.85" hidden="false" customHeight="false" outlineLevel="0" collapsed="false">
      <c r="A80" s="15" t="s">
        <v>39</v>
      </c>
      <c r="B80" s="15" t="s">
        <v>463</v>
      </c>
      <c r="C80" s="15" t="str">
        <f aca="false">IFERROR(INDEX('Method &amp; Notes'!$B$24:$B$34,MATCH(B80,'Method &amp; Notes'!$A$24:$A$34,0)),"")</f>
        <v>Memberships, concierge and retailer services</v>
      </c>
      <c r="D80" s="15" t="s">
        <v>638</v>
      </c>
      <c r="E80" s="16" t="s">
        <v>639</v>
      </c>
      <c r="F80" s="15" t="s">
        <v>640</v>
      </c>
    </row>
    <row r="81" customFormat="false" ht="23.85" hidden="false" customHeight="false" outlineLevel="0" collapsed="false">
      <c r="A81" s="15" t="s">
        <v>39</v>
      </c>
      <c r="B81" s="15" t="s">
        <v>467</v>
      </c>
      <c r="C81" s="15" t="str">
        <f aca="false">IFERROR(INDEX('Method &amp; Notes'!$B$24:$B$34,MATCH(B81,'Method &amp; Notes'!$A$24:$A$34,0)),"")</f>
        <v>Time, cost and scope guides</v>
      </c>
      <c r="D81" s="15" t="s">
        <v>641</v>
      </c>
      <c r="E81" s="16" t="s">
        <v>642</v>
      </c>
      <c r="F81" s="15" t="s">
        <v>643</v>
      </c>
    </row>
    <row r="82" customFormat="false" ht="15" hidden="false" customHeight="false" outlineLevel="0" collapsed="false">
      <c r="A82" s="15" t="s">
        <v>39</v>
      </c>
      <c r="B82" s="15" t="s">
        <v>467</v>
      </c>
      <c r="C82" s="15" t="str">
        <f aca="false">IFERROR(INDEX('Method &amp; Notes'!$B$24:$B$34,MATCH(B82,'Method &amp; Notes'!$A$24:$A$34,0)),"")</f>
        <v>Time, cost and scope guides</v>
      </c>
      <c r="D82" s="15" t="s">
        <v>644</v>
      </c>
      <c r="E82" s="16" t="s">
        <v>645</v>
      </c>
      <c r="F82" s="15" t="s">
        <v>646</v>
      </c>
    </row>
    <row r="83" customFormat="false" ht="23.85" hidden="false" customHeight="false" outlineLevel="0" collapsed="false">
      <c r="A83" s="15" t="s">
        <v>39</v>
      </c>
      <c r="B83" s="15" t="s">
        <v>477</v>
      </c>
      <c r="C83" s="15" t="str">
        <f aca="false">IFERROR(INDEX('Method &amp; Notes'!$B$24:$B$34,MATCH(B83,'Method &amp; Notes'!$A$24:$A$34,0)),"")</f>
        <v>Regional, seasonal and emerging demand</v>
      </c>
      <c r="D83" s="15" t="s">
        <v>480</v>
      </c>
      <c r="E83" s="16" t="s">
        <v>481</v>
      </c>
      <c r="F83" s="15" t="s">
        <v>647</v>
      </c>
    </row>
    <row r="84" customFormat="false" ht="15" hidden="false" customHeight="false" outlineLevel="0" collapsed="false">
      <c r="A84" s="15" t="s">
        <v>43</v>
      </c>
      <c r="B84" s="15" t="s">
        <v>431</v>
      </c>
      <c r="C84" s="15" t="str">
        <f aca="false">IFERROR(INDEX('Method &amp; Notes'!$B$24:$B$34,MATCH(B84,'Method &amp; Notes'!$A$24:$A$34,0)),"")</f>
        <v>Marketplaces and booking platforms</v>
      </c>
      <c r="D84" s="15" t="s">
        <v>432</v>
      </c>
      <c r="E84" s="16" t="s">
        <v>648</v>
      </c>
      <c r="F84" s="15" t="s">
        <v>649</v>
      </c>
    </row>
    <row r="85" customFormat="false" ht="15" hidden="false" customHeight="false" outlineLevel="0" collapsed="false">
      <c r="A85" s="15" t="s">
        <v>43</v>
      </c>
      <c r="B85" s="15" t="s">
        <v>431</v>
      </c>
      <c r="C85" s="15" t="str">
        <f aca="false">IFERROR(INDEX('Method &amp; Notes'!$B$24:$B$34,MATCH(B85,'Method &amp; Notes'!$A$24:$A$34,0)),"")</f>
        <v>Marketplaces and booking platforms</v>
      </c>
      <c r="D85" s="15" t="s">
        <v>435</v>
      </c>
      <c r="E85" s="16" t="s">
        <v>650</v>
      </c>
      <c r="F85" s="15" t="s">
        <v>651</v>
      </c>
    </row>
    <row r="86" customFormat="false" ht="15" hidden="false" customHeight="false" outlineLevel="0" collapsed="false">
      <c r="A86" s="15" t="s">
        <v>43</v>
      </c>
      <c r="B86" s="15" t="s">
        <v>441</v>
      </c>
      <c r="C86" s="15" t="str">
        <f aca="false">IFERROR(INDEX('Method &amp; Notes'!$B$24:$B$34,MATCH(B86,'Method &amp; Notes'!$A$24:$A$34,0)),"")</f>
        <v>Handyman business guides</v>
      </c>
      <c r="D86" s="15" t="s">
        <v>652</v>
      </c>
      <c r="E86" s="16" t="s">
        <v>653</v>
      </c>
      <c r="F86" s="15" t="s">
        <v>654</v>
      </c>
    </row>
    <row r="87" customFormat="false" ht="15" hidden="false" customHeight="false" outlineLevel="0" collapsed="false">
      <c r="A87" s="15" t="s">
        <v>43</v>
      </c>
      <c r="B87" s="15" t="s">
        <v>441</v>
      </c>
      <c r="C87" s="15" t="str">
        <f aca="false">IFERROR(INDEX('Method &amp; Notes'!$B$24:$B$34,MATCH(B87,'Method &amp; Notes'!$A$24:$A$34,0)),"")</f>
        <v>Handyman business guides</v>
      </c>
      <c r="D87" s="15" t="s">
        <v>625</v>
      </c>
      <c r="E87" s="16" t="s">
        <v>655</v>
      </c>
      <c r="F87" s="15" t="s">
        <v>656</v>
      </c>
    </row>
    <row r="88" customFormat="false" ht="23.85" hidden="false" customHeight="false" outlineLevel="0" collapsed="false">
      <c r="A88" s="15" t="s">
        <v>43</v>
      </c>
      <c r="B88" s="15" t="s">
        <v>448</v>
      </c>
      <c r="C88" s="15" t="str">
        <f aca="false">IFERROR(INDEX('Method &amp; Notes'!$B$24:$B$34,MATCH(B88,'Method &amp; Notes'!$A$24:$A$34,0)),"")</f>
        <v>Warranty claims and inspections</v>
      </c>
      <c r="D88" s="15" t="s">
        <v>657</v>
      </c>
      <c r="E88" s="16" t="s">
        <v>658</v>
      </c>
      <c r="F88" s="15" t="s">
        <v>659</v>
      </c>
    </row>
    <row r="89" customFormat="false" ht="23.85" hidden="false" customHeight="false" outlineLevel="0" collapsed="false">
      <c r="A89" s="15" t="s">
        <v>43</v>
      </c>
      <c r="B89" s="15" t="s">
        <v>459</v>
      </c>
      <c r="C89" s="15" t="str">
        <f aca="false">IFERROR(INDEX('Method &amp; Notes'!$B$24:$B$34,MATCH(B89,'Method &amp; Notes'!$A$24:$A$34,0)),"")</f>
        <v>Rental and property maintenance requests</v>
      </c>
      <c r="D89" s="15" t="s">
        <v>554</v>
      </c>
      <c r="E89" s="16" t="s">
        <v>555</v>
      </c>
      <c r="F89" s="15" t="s">
        <v>660</v>
      </c>
    </row>
    <row r="90" customFormat="false" ht="23.85" hidden="false" customHeight="false" outlineLevel="0" collapsed="false">
      <c r="A90" s="15" t="s">
        <v>43</v>
      </c>
      <c r="B90" s="15" t="s">
        <v>463</v>
      </c>
      <c r="C90" s="15" t="str">
        <f aca="false">IFERROR(INDEX('Method &amp; Notes'!$B$24:$B$34,MATCH(B90,'Method &amp; Notes'!$A$24:$A$34,0)),"")</f>
        <v>Memberships, concierge and retailer services</v>
      </c>
      <c r="D90" s="15" t="s">
        <v>661</v>
      </c>
      <c r="E90" s="16" t="s">
        <v>662</v>
      </c>
      <c r="F90" s="15" t="s">
        <v>663</v>
      </c>
    </row>
    <row r="91" customFormat="false" ht="23.85" hidden="false" customHeight="false" outlineLevel="0" collapsed="false">
      <c r="A91" s="15" t="s">
        <v>43</v>
      </c>
      <c r="B91" s="15" t="s">
        <v>463</v>
      </c>
      <c r="C91" s="15" t="str">
        <f aca="false">IFERROR(INDEX('Method &amp; Notes'!$B$24:$B$34,MATCH(B91,'Method &amp; Notes'!$A$24:$A$34,0)),"")</f>
        <v>Memberships, concierge and retailer services</v>
      </c>
      <c r="D91" s="15" t="s">
        <v>664</v>
      </c>
      <c r="E91" s="16" t="s">
        <v>665</v>
      </c>
      <c r="F91" s="15" t="s">
        <v>666</v>
      </c>
    </row>
    <row r="92" customFormat="false" ht="15" hidden="false" customHeight="false" outlineLevel="0" collapsed="false">
      <c r="A92" s="15" t="s">
        <v>43</v>
      </c>
      <c r="B92" s="15" t="s">
        <v>467</v>
      </c>
      <c r="C92" s="15" t="str">
        <f aca="false">IFERROR(INDEX('Method &amp; Notes'!$B$24:$B$34,MATCH(B92,'Method &amp; Notes'!$A$24:$A$34,0)),"")</f>
        <v>Time, cost and scope guides</v>
      </c>
      <c r="D92" s="15" t="s">
        <v>667</v>
      </c>
      <c r="E92" s="16" t="s">
        <v>668</v>
      </c>
      <c r="F92" s="15" t="s">
        <v>669</v>
      </c>
    </row>
    <row r="93" customFormat="false" ht="23.85" hidden="false" customHeight="false" outlineLevel="0" collapsed="false">
      <c r="A93" s="15" t="s">
        <v>43</v>
      </c>
      <c r="B93" s="15" t="s">
        <v>467</v>
      </c>
      <c r="C93" s="15" t="str">
        <f aca="false">IFERROR(INDEX('Method &amp; Notes'!$B$24:$B$34,MATCH(B93,'Method &amp; Notes'!$A$24:$A$34,0)),"")</f>
        <v>Time, cost and scope guides</v>
      </c>
      <c r="D93" s="15" t="s">
        <v>670</v>
      </c>
      <c r="E93" s="16" t="s">
        <v>671</v>
      </c>
      <c r="F93" s="15" t="s">
        <v>672</v>
      </c>
    </row>
    <row r="94" customFormat="false" ht="15" hidden="false" customHeight="false" outlineLevel="0" collapsed="false">
      <c r="A94" s="15" t="s">
        <v>43</v>
      </c>
      <c r="B94" s="15" t="s">
        <v>467</v>
      </c>
      <c r="C94" s="15" t="str">
        <f aca="false">IFERROR(INDEX('Method &amp; Notes'!$B$24:$B$34,MATCH(B94,'Method &amp; Notes'!$A$24:$A$34,0)),"")</f>
        <v>Time, cost and scope guides</v>
      </c>
      <c r="D94" s="15" t="s">
        <v>673</v>
      </c>
      <c r="E94" s="16" t="s">
        <v>674</v>
      </c>
      <c r="F94" s="15" t="s">
        <v>675</v>
      </c>
    </row>
    <row r="95" customFormat="false" ht="23.85" hidden="false" customHeight="false" outlineLevel="0" collapsed="false">
      <c r="A95" s="15" t="s">
        <v>43</v>
      </c>
      <c r="B95" s="15" t="s">
        <v>477</v>
      </c>
      <c r="C95" s="15" t="str">
        <f aca="false">IFERROR(INDEX('Method &amp; Notes'!$B$24:$B$34,MATCH(B95,'Method &amp; Notes'!$A$24:$A$34,0)),"")</f>
        <v>Regional, seasonal and emerging demand</v>
      </c>
      <c r="D95" s="15" t="s">
        <v>676</v>
      </c>
      <c r="E95" s="16" t="s">
        <v>677</v>
      </c>
      <c r="F95" s="15" t="s">
        <v>678</v>
      </c>
    </row>
    <row r="96" customFormat="false" ht="23.85" hidden="false" customHeight="false" outlineLevel="0" collapsed="false">
      <c r="A96" s="15" t="s">
        <v>43</v>
      </c>
      <c r="B96" s="15" t="s">
        <v>477</v>
      </c>
      <c r="C96" s="15" t="str">
        <f aca="false">IFERROR(INDEX('Method &amp; Notes'!$B$24:$B$34,MATCH(B96,'Method &amp; Notes'!$A$24:$A$34,0)),"")</f>
        <v>Regional, seasonal and emerging demand</v>
      </c>
      <c r="D96" s="15" t="s">
        <v>679</v>
      </c>
      <c r="E96" s="16" t="s">
        <v>680</v>
      </c>
      <c r="F96" s="15" t="s">
        <v>681</v>
      </c>
    </row>
    <row r="97" customFormat="false" ht="23.85" hidden="false" customHeight="false" outlineLevel="0" collapsed="false">
      <c r="A97" s="15" t="s">
        <v>43</v>
      </c>
      <c r="B97" s="15" t="s">
        <v>477</v>
      </c>
      <c r="C97" s="15" t="str">
        <f aca="false">IFERROR(INDEX('Method &amp; Notes'!$B$24:$B$34,MATCH(B97,'Method &amp; Notes'!$A$24:$A$34,0)),"")</f>
        <v>Regional, seasonal and emerging demand</v>
      </c>
      <c r="D97" s="15" t="s">
        <v>682</v>
      </c>
      <c r="E97" s="16" t="s">
        <v>683</v>
      </c>
      <c r="F97" s="15" t="s">
        <v>684</v>
      </c>
    </row>
    <row r="98" customFormat="false" ht="23.85" hidden="false" customHeight="false" outlineLevel="0" collapsed="false">
      <c r="A98" s="15" t="s">
        <v>43</v>
      </c>
      <c r="B98" s="15" t="s">
        <v>486</v>
      </c>
      <c r="C98" s="15" t="str">
        <f aca="false">IFERROR(INDEX('Method &amp; Notes'!$B$24:$B$34,MATCH(B98,'Method &amp; Notes'!$A$24:$A$34,0)),"")</f>
        <v>Search demand</v>
      </c>
      <c r="D98" s="15" t="s">
        <v>685</v>
      </c>
      <c r="E98" s="16" t="s">
        <v>686</v>
      </c>
      <c r="F98" s="15" t="s">
        <v>687</v>
      </c>
    </row>
    <row r="99" customFormat="false" ht="23.85" hidden="false" customHeight="false" outlineLevel="0" collapsed="false">
      <c r="A99" s="15" t="s">
        <v>43</v>
      </c>
      <c r="B99" s="15" t="s">
        <v>486</v>
      </c>
      <c r="C99" s="15" t="str">
        <f aca="false">IFERROR(INDEX('Method &amp; Notes'!$B$24:$B$34,MATCH(B99,'Method &amp; Notes'!$A$24:$A$34,0)),"")</f>
        <v>Search demand</v>
      </c>
      <c r="D99" s="15" t="s">
        <v>688</v>
      </c>
      <c r="E99" s="16" t="s">
        <v>689</v>
      </c>
      <c r="F99" s="15" t="s">
        <v>690</v>
      </c>
    </row>
    <row r="100" customFormat="false" ht="23.85" hidden="false" customHeight="false" outlineLevel="0" collapsed="false">
      <c r="A100" s="15" t="s">
        <v>47</v>
      </c>
      <c r="B100" s="15" t="s">
        <v>431</v>
      </c>
      <c r="C100" s="15" t="str">
        <f aca="false">IFERROR(INDEX('Method &amp; Notes'!$B$24:$B$34,MATCH(B100,'Method &amp; Notes'!$A$24:$A$34,0)),"")</f>
        <v>Marketplaces and booking platforms</v>
      </c>
      <c r="D100" s="15" t="s">
        <v>432</v>
      </c>
      <c r="E100" s="16" t="s">
        <v>691</v>
      </c>
      <c r="F100" s="15" t="s">
        <v>692</v>
      </c>
    </row>
    <row r="101" customFormat="false" ht="23.85" hidden="false" customHeight="false" outlineLevel="0" collapsed="false">
      <c r="A101" s="15" t="s">
        <v>47</v>
      </c>
      <c r="B101" s="15" t="s">
        <v>431</v>
      </c>
      <c r="C101" s="15" t="str">
        <f aca="false">IFERROR(INDEX('Method &amp; Notes'!$B$24:$B$34,MATCH(B101,'Method &amp; Notes'!$A$24:$A$34,0)),"")</f>
        <v>Marketplaces and booking platforms</v>
      </c>
      <c r="D101" s="15" t="s">
        <v>435</v>
      </c>
      <c r="E101" s="16" t="s">
        <v>436</v>
      </c>
      <c r="F101" s="15" t="s">
        <v>693</v>
      </c>
    </row>
    <row r="102" customFormat="false" ht="23.85" hidden="false" customHeight="false" outlineLevel="0" collapsed="false">
      <c r="A102" s="15" t="s">
        <v>47</v>
      </c>
      <c r="B102" s="15" t="s">
        <v>441</v>
      </c>
      <c r="C102" s="15" t="str">
        <f aca="false">IFERROR(INDEX('Method &amp; Notes'!$B$24:$B$34,MATCH(B102,'Method &amp; Notes'!$A$24:$A$34,0)),"")</f>
        <v>Handyman business guides</v>
      </c>
      <c r="D102" s="15" t="s">
        <v>625</v>
      </c>
      <c r="E102" s="16" t="s">
        <v>626</v>
      </c>
      <c r="F102" s="15" t="s">
        <v>694</v>
      </c>
    </row>
    <row r="103" customFormat="false" ht="23.85" hidden="false" customHeight="false" outlineLevel="0" collapsed="false">
      <c r="A103" s="15" t="s">
        <v>47</v>
      </c>
      <c r="B103" s="15" t="s">
        <v>441</v>
      </c>
      <c r="C103" s="15" t="str">
        <f aca="false">IFERROR(INDEX('Method &amp; Notes'!$B$24:$B$34,MATCH(B103,'Method &amp; Notes'!$A$24:$A$34,0)),"")</f>
        <v>Handyman business guides</v>
      </c>
      <c r="D103" s="15" t="s">
        <v>496</v>
      </c>
      <c r="E103" s="16" t="s">
        <v>695</v>
      </c>
      <c r="F103" s="15" t="s">
        <v>696</v>
      </c>
    </row>
    <row r="104" customFormat="false" ht="23.85" hidden="false" customHeight="false" outlineLevel="0" collapsed="false">
      <c r="A104" s="15" t="s">
        <v>47</v>
      </c>
      <c r="B104" s="15" t="s">
        <v>448</v>
      </c>
      <c r="C104" s="15" t="str">
        <f aca="false">IFERROR(INDEX('Method &amp; Notes'!$B$24:$B$34,MATCH(B104,'Method &amp; Notes'!$A$24:$A$34,0)),"")</f>
        <v>Warranty claims and inspections</v>
      </c>
      <c r="D104" s="15" t="s">
        <v>545</v>
      </c>
      <c r="E104" s="16" t="s">
        <v>546</v>
      </c>
      <c r="F104" s="15" t="s">
        <v>697</v>
      </c>
    </row>
    <row r="105" customFormat="false" ht="23.85" hidden="false" customHeight="false" outlineLevel="0" collapsed="false">
      <c r="A105" s="15" t="s">
        <v>47</v>
      </c>
      <c r="B105" s="15" t="s">
        <v>448</v>
      </c>
      <c r="C105" s="15" t="str">
        <f aca="false">IFERROR(INDEX('Method &amp; Notes'!$B$24:$B$34,MATCH(B105,'Method &amp; Notes'!$A$24:$A$34,0)),"")</f>
        <v>Warranty claims and inspections</v>
      </c>
      <c r="D105" s="15" t="s">
        <v>698</v>
      </c>
      <c r="E105" s="16" t="s">
        <v>699</v>
      </c>
      <c r="F105" s="15" t="s">
        <v>700</v>
      </c>
    </row>
    <row r="106" customFormat="false" ht="23.85" hidden="false" customHeight="false" outlineLevel="0" collapsed="false">
      <c r="A106" s="15" t="s">
        <v>47</v>
      </c>
      <c r="B106" s="15" t="s">
        <v>448</v>
      </c>
      <c r="C106" s="15" t="str">
        <f aca="false">IFERROR(INDEX('Method &amp; Notes'!$B$24:$B$34,MATCH(B106,'Method &amp; Notes'!$A$24:$A$34,0)),"")</f>
        <v>Warranty claims and inspections</v>
      </c>
      <c r="D106" s="15" t="s">
        <v>576</v>
      </c>
      <c r="E106" s="16" t="s">
        <v>577</v>
      </c>
      <c r="F106" s="15" t="s">
        <v>701</v>
      </c>
    </row>
    <row r="107" customFormat="false" ht="23.85" hidden="false" customHeight="false" outlineLevel="0" collapsed="false">
      <c r="A107" s="15" t="s">
        <v>47</v>
      </c>
      <c r="B107" s="15" t="s">
        <v>452</v>
      </c>
      <c r="C107" s="15" t="str">
        <f aca="false">IFERROR(INDEX('Method &amp; Notes'!$B$24:$B$34,MATCH(B107,'Method &amp; Notes'!$A$24:$A$34,0)),"")</f>
        <v>DIY and how-to interest</v>
      </c>
      <c r="D107" s="15" t="s">
        <v>702</v>
      </c>
      <c r="E107" s="16" t="s">
        <v>703</v>
      </c>
      <c r="F107" s="15" t="s">
        <v>704</v>
      </c>
    </row>
    <row r="108" customFormat="false" ht="35.05" hidden="false" customHeight="false" outlineLevel="0" collapsed="false">
      <c r="A108" s="15" t="s">
        <v>47</v>
      </c>
      <c r="B108" s="15" t="s">
        <v>452</v>
      </c>
      <c r="C108" s="15" t="str">
        <f aca="false">IFERROR(INDEX('Method &amp; Notes'!$B$24:$B$34,MATCH(B108,'Method &amp; Notes'!$A$24:$A$34,0)),"")</f>
        <v>DIY and how-to interest</v>
      </c>
      <c r="D108" s="15" t="s">
        <v>548</v>
      </c>
      <c r="E108" s="16" t="s">
        <v>549</v>
      </c>
      <c r="F108" s="15" t="s">
        <v>705</v>
      </c>
    </row>
    <row r="109" customFormat="false" ht="23.85" hidden="false" customHeight="false" outlineLevel="0" collapsed="false">
      <c r="A109" s="15" t="s">
        <v>47</v>
      </c>
      <c r="B109" s="15" t="s">
        <v>459</v>
      </c>
      <c r="C109" s="15" t="str">
        <f aca="false">IFERROR(INDEX('Method &amp; Notes'!$B$24:$B$34,MATCH(B109,'Method &amp; Notes'!$A$24:$A$34,0)),"")</f>
        <v>Rental and property maintenance requests</v>
      </c>
      <c r="D109" s="15" t="s">
        <v>706</v>
      </c>
      <c r="E109" s="16" t="s">
        <v>707</v>
      </c>
      <c r="F109" s="15" t="s">
        <v>708</v>
      </c>
    </row>
    <row r="110" customFormat="false" ht="23.85" hidden="false" customHeight="false" outlineLevel="0" collapsed="false">
      <c r="A110" s="15" t="s">
        <v>47</v>
      </c>
      <c r="B110" s="15" t="s">
        <v>459</v>
      </c>
      <c r="C110" s="15" t="str">
        <f aca="false">IFERROR(INDEX('Method &amp; Notes'!$B$24:$B$34,MATCH(B110,'Method &amp; Notes'!$A$24:$A$34,0)),"")</f>
        <v>Rental and property maintenance requests</v>
      </c>
      <c r="D110" s="15" t="s">
        <v>592</v>
      </c>
      <c r="E110" s="16" t="s">
        <v>593</v>
      </c>
      <c r="F110" s="15" t="s">
        <v>709</v>
      </c>
    </row>
    <row r="111" customFormat="false" ht="23.85" hidden="false" customHeight="false" outlineLevel="0" collapsed="false">
      <c r="A111" s="15" t="s">
        <v>47</v>
      </c>
      <c r="B111" s="15" t="s">
        <v>463</v>
      </c>
      <c r="C111" s="15" t="str">
        <f aca="false">IFERROR(INDEX('Method &amp; Notes'!$B$24:$B$34,MATCH(B111,'Method &amp; Notes'!$A$24:$A$34,0)),"")</f>
        <v>Memberships, concierge and retailer services</v>
      </c>
      <c r="D111" s="15" t="s">
        <v>464</v>
      </c>
      <c r="E111" s="16" t="s">
        <v>465</v>
      </c>
      <c r="F111" s="15" t="s">
        <v>466</v>
      </c>
    </row>
    <row r="112" customFormat="false" ht="23.85" hidden="false" customHeight="false" outlineLevel="0" collapsed="false">
      <c r="A112" s="15" t="s">
        <v>47</v>
      </c>
      <c r="B112" s="15" t="s">
        <v>463</v>
      </c>
      <c r="C112" s="15" t="str">
        <f aca="false">IFERROR(INDEX('Method &amp; Notes'!$B$24:$B$34,MATCH(B112,'Method &amp; Notes'!$A$24:$A$34,0)),"")</f>
        <v>Memberships, concierge and retailer services</v>
      </c>
      <c r="D112" s="15" t="s">
        <v>710</v>
      </c>
      <c r="E112" s="16" t="s">
        <v>711</v>
      </c>
      <c r="F112" s="15" t="s">
        <v>712</v>
      </c>
    </row>
    <row r="113" customFormat="false" ht="23.85" hidden="false" customHeight="false" outlineLevel="0" collapsed="false">
      <c r="A113" s="15" t="s">
        <v>47</v>
      </c>
      <c r="B113" s="15" t="s">
        <v>477</v>
      </c>
      <c r="C113" s="15" t="str">
        <f aca="false">IFERROR(INDEX('Method &amp; Notes'!$B$24:$B$34,MATCH(B113,'Method &amp; Notes'!$A$24:$A$34,0)),"")</f>
        <v>Regional, seasonal and emerging demand</v>
      </c>
      <c r="D113" s="15" t="s">
        <v>713</v>
      </c>
      <c r="E113" s="16" t="s">
        <v>714</v>
      </c>
      <c r="F113" s="15" t="s">
        <v>715</v>
      </c>
    </row>
    <row r="114" customFormat="false" ht="23.85" hidden="false" customHeight="false" outlineLevel="0" collapsed="false">
      <c r="A114" s="15" t="s">
        <v>47</v>
      </c>
      <c r="B114" s="15" t="s">
        <v>477</v>
      </c>
      <c r="C114" s="15" t="str">
        <f aca="false">IFERROR(INDEX('Method &amp; Notes'!$B$24:$B$34,MATCH(B114,'Method &amp; Notes'!$A$24:$A$34,0)),"")</f>
        <v>Regional, seasonal and emerging demand</v>
      </c>
      <c r="D114" s="15" t="s">
        <v>716</v>
      </c>
      <c r="E114" s="16" t="s">
        <v>717</v>
      </c>
      <c r="F114" s="15" t="s">
        <v>718</v>
      </c>
    </row>
    <row r="115" customFormat="false" ht="15" hidden="false" customHeight="false" outlineLevel="0" collapsed="false">
      <c r="A115" s="15" t="s">
        <v>52</v>
      </c>
      <c r="B115" s="15" t="s">
        <v>431</v>
      </c>
      <c r="C115" s="15" t="str">
        <f aca="false">IFERROR(INDEX('Method &amp; Notes'!$B$24:$B$34,MATCH(B115,'Method &amp; Notes'!$A$24:$A$34,0)),"")</f>
        <v>Marketplaces and booking platforms</v>
      </c>
      <c r="D115" s="15" t="s">
        <v>432</v>
      </c>
      <c r="E115" s="16" t="s">
        <v>719</v>
      </c>
      <c r="F115" s="15" t="s">
        <v>720</v>
      </c>
    </row>
    <row r="116" customFormat="false" ht="15" hidden="false" customHeight="false" outlineLevel="0" collapsed="false">
      <c r="A116" s="15" t="s">
        <v>52</v>
      </c>
      <c r="B116" s="15" t="s">
        <v>431</v>
      </c>
      <c r="C116" s="15" t="str">
        <f aca="false">IFERROR(INDEX('Method &amp; Notes'!$B$24:$B$34,MATCH(B116,'Method &amp; Notes'!$A$24:$A$34,0)),"")</f>
        <v>Marketplaces and booking platforms</v>
      </c>
      <c r="D116" s="15" t="s">
        <v>435</v>
      </c>
      <c r="E116" s="16" t="s">
        <v>721</v>
      </c>
      <c r="F116" s="15" t="s">
        <v>722</v>
      </c>
    </row>
    <row r="117" customFormat="false" ht="15" hidden="false" customHeight="false" outlineLevel="0" collapsed="false">
      <c r="A117" s="15" t="s">
        <v>52</v>
      </c>
      <c r="B117" s="15" t="s">
        <v>441</v>
      </c>
      <c r="C117" s="15" t="str">
        <f aca="false">IFERROR(INDEX('Method &amp; Notes'!$B$24:$B$34,MATCH(B117,'Method &amp; Notes'!$A$24:$A$34,0)),"")</f>
        <v>Handyman business guides</v>
      </c>
      <c r="D117" s="15" t="s">
        <v>723</v>
      </c>
      <c r="E117" s="16" t="s">
        <v>724</v>
      </c>
      <c r="F117" s="15" t="s">
        <v>725</v>
      </c>
    </row>
    <row r="118" customFormat="false" ht="23.85" hidden="false" customHeight="false" outlineLevel="0" collapsed="false">
      <c r="A118" s="15" t="s">
        <v>52</v>
      </c>
      <c r="B118" s="15" t="s">
        <v>448</v>
      </c>
      <c r="C118" s="15" t="str">
        <f aca="false">IFERROR(INDEX('Method &amp; Notes'!$B$24:$B$34,MATCH(B118,'Method &amp; Notes'!$A$24:$A$34,0)),"")</f>
        <v>Warranty claims and inspections</v>
      </c>
      <c r="D118" s="15" t="s">
        <v>726</v>
      </c>
      <c r="E118" s="16" t="s">
        <v>727</v>
      </c>
      <c r="F118" s="15" t="s">
        <v>728</v>
      </c>
    </row>
    <row r="119" customFormat="false" ht="23.85" hidden="false" customHeight="false" outlineLevel="0" collapsed="false">
      <c r="A119" s="15" t="s">
        <v>52</v>
      </c>
      <c r="B119" s="15" t="s">
        <v>448</v>
      </c>
      <c r="C119" s="15" t="str">
        <f aca="false">IFERROR(INDEX('Method &amp; Notes'!$B$24:$B$34,MATCH(B119,'Method &amp; Notes'!$A$24:$A$34,0)),"")</f>
        <v>Warranty claims and inspections</v>
      </c>
      <c r="D119" s="15" t="s">
        <v>502</v>
      </c>
      <c r="E119" s="16" t="s">
        <v>503</v>
      </c>
      <c r="F119" s="15" t="s">
        <v>729</v>
      </c>
    </row>
    <row r="120" customFormat="false" ht="23.85" hidden="false" customHeight="false" outlineLevel="0" collapsed="false">
      <c r="A120" s="15" t="s">
        <v>52</v>
      </c>
      <c r="B120" s="15" t="s">
        <v>452</v>
      </c>
      <c r="C120" s="15" t="str">
        <f aca="false">IFERROR(INDEX('Method &amp; Notes'!$B$24:$B$34,MATCH(B120,'Method &amp; Notes'!$A$24:$A$34,0)),"")</f>
        <v>DIY and how-to interest</v>
      </c>
      <c r="D120" s="15" t="s">
        <v>453</v>
      </c>
      <c r="E120" s="16" t="s">
        <v>454</v>
      </c>
      <c r="F120" s="15" t="s">
        <v>730</v>
      </c>
    </row>
    <row r="121" customFormat="false" ht="35.05" hidden="false" customHeight="false" outlineLevel="0" collapsed="false">
      <c r="A121" s="15" t="s">
        <v>52</v>
      </c>
      <c r="B121" s="15" t="s">
        <v>452</v>
      </c>
      <c r="C121" s="15" t="str">
        <f aca="false">IFERROR(INDEX('Method &amp; Notes'!$B$24:$B$34,MATCH(B121,'Method &amp; Notes'!$A$24:$A$34,0)),"")</f>
        <v>DIY and how-to interest</v>
      </c>
      <c r="D121" s="15" t="s">
        <v>731</v>
      </c>
      <c r="E121" s="16" t="s">
        <v>732</v>
      </c>
      <c r="F121" s="15" t="s">
        <v>733</v>
      </c>
    </row>
    <row r="122" customFormat="false" ht="23.85" hidden="false" customHeight="false" outlineLevel="0" collapsed="false">
      <c r="A122" s="15" t="s">
        <v>52</v>
      </c>
      <c r="B122" s="15" t="s">
        <v>459</v>
      </c>
      <c r="C122" s="15" t="str">
        <f aca="false">IFERROR(INDEX('Method &amp; Notes'!$B$24:$B$34,MATCH(B122,'Method &amp; Notes'!$A$24:$A$34,0)),"")</f>
        <v>Rental and property maintenance requests</v>
      </c>
      <c r="D122" s="15" t="s">
        <v>734</v>
      </c>
      <c r="E122" s="16" t="s">
        <v>735</v>
      </c>
      <c r="F122" s="15" t="s">
        <v>736</v>
      </c>
    </row>
    <row r="123" customFormat="false" ht="23.85" hidden="false" customHeight="false" outlineLevel="0" collapsed="false">
      <c r="A123" s="15" t="s">
        <v>52</v>
      </c>
      <c r="B123" s="15" t="s">
        <v>459</v>
      </c>
      <c r="C123" s="15" t="str">
        <f aca="false">IFERROR(INDEX('Method &amp; Notes'!$B$24:$B$34,MATCH(B123,'Method &amp; Notes'!$A$24:$A$34,0)),"")</f>
        <v>Rental and property maintenance requests</v>
      </c>
      <c r="D123" s="15" t="s">
        <v>737</v>
      </c>
      <c r="E123" s="16" t="s">
        <v>738</v>
      </c>
      <c r="F123" s="15" t="s">
        <v>739</v>
      </c>
    </row>
    <row r="124" customFormat="false" ht="23.85" hidden="false" customHeight="false" outlineLevel="0" collapsed="false">
      <c r="A124" s="15" t="s">
        <v>52</v>
      </c>
      <c r="B124" s="15" t="s">
        <v>463</v>
      </c>
      <c r="C124" s="15" t="str">
        <f aca="false">IFERROR(INDEX('Method &amp; Notes'!$B$24:$B$34,MATCH(B124,'Method &amp; Notes'!$A$24:$A$34,0)),"")</f>
        <v>Memberships, concierge and retailer services</v>
      </c>
      <c r="D124" s="15" t="s">
        <v>740</v>
      </c>
      <c r="E124" s="16" t="s">
        <v>741</v>
      </c>
      <c r="F124" s="15" t="s">
        <v>742</v>
      </c>
    </row>
    <row r="125" customFormat="false" ht="23.85" hidden="false" customHeight="false" outlineLevel="0" collapsed="false">
      <c r="A125" s="15" t="s">
        <v>52</v>
      </c>
      <c r="B125" s="15" t="s">
        <v>463</v>
      </c>
      <c r="C125" s="15" t="str">
        <f aca="false">IFERROR(INDEX('Method &amp; Notes'!$B$24:$B$34,MATCH(B125,'Method &amp; Notes'!$A$24:$A$34,0)),"")</f>
        <v>Memberships, concierge and retailer services</v>
      </c>
      <c r="D125" s="15" t="s">
        <v>743</v>
      </c>
      <c r="E125" s="16" t="s">
        <v>744</v>
      </c>
      <c r="F125" s="15" t="s">
        <v>745</v>
      </c>
    </row>
    <row r="126" customFormat="false" ht="23.85" hidden="false" customHeight="false" outlineLevel="0" collapsed="false">
      <c r="A126" s="15" t="s">
        <v>52</v>
      </c>
      <c r="B126" s="15" t="s">
        <v>467</v>
      </c>
      <c r="C126" s="15" t="str">
        <f aca="false">IFERROR(INDEX('Method &amp; Notes'!$B$24:$B$34,MATCH(B126,'Method &amp; Notes'!$A$24:$A$34,0)),"")</f>
        <v>Time, cost and scope guides</v>
      </c>
      <c r="D126" s="15" t="s">
        <v>525</v>
      </c>
      <c r="E126" s="16" t="s">
        <v>746</v>
      </c>
      <c r="F126" s="15" t="s">
        <v>747</v>
      </c>
    </row>
    <row r="127" customFormat="false" ht="23.85" hidden="false" customHeight="false" outlineLevel="0" collapsed="false">
      <c r="A127" s="15" t="s">
        <v>52</v>
      </c>
      <c r="B127" s="15" t="s">
        <v>467</v>
      </c>
      <c r="C127" s="15" t="str">
        <f aca="false">IFERROR(INDEX('Method &amp; Notes'!$B$24:$B$34,MATCH(B127,'Method &amp; Notes'!$A$24:$A$34,0)),"")</f>
        <v>Time, cost and scope guides</v>
      </c>
      <c r="D127" s="15" t="s">
        <v>496</v>
      </c>
      <c r="E127" s="16" t="s">
        <v>748</v>
      </c>
      <c r="F127" s="15" t="s">
        <v>749</v>
      </c>
    </row>
    <row r="128" customFormat="false" ht="15" hidden="false" customHeight="false" outlineLevel="0" collapsed="false">
      <c r="A128" s="15" t="s">
        <v>52</v>
      </c>
      <c r="B128" s="15" t="s">
        <v>467</v>
      </c>
      <c r="C128" s="15" t="str">
        <f aca="false">IFERROR(INDEX('Method &amp; Notes'!$B$24:$B$34,MATCH(B128,'Method &amp; Notes'!$A$24:$A$34,0)),"")</f>
        <v>Time, cost and scope guides</v>
      </c>
      <c r="D128" s="15" t="s">
        <v>471</v>
      </c>
      <c r="E128" s="16" t="s">
        <v>750</v>
      </c>
      <c r="F128" s="15" t="s">
        <v>751</v>
      </c>
    </row>
    <row r="129" customFormat="false" ht="15" hidden="false" customHeight="false" outlineLevel="0" collapsed="false">
      <c r="A129" s="15" t="s">
        <v>57</v>
      </c>
      <c r="B129" s="15" t="s">
        <v>431</v>
      </c>
      <c r="C129" s="15" t="str">
        <f aca="false">IFERROR(INDEX('Method &amp; Notes'!$B$24:$B$34,MATCH(B129,'Method &amp; Notes'!$A$24:$A$34,0)),"")</f>
        <v>Marketplaces and booking platforms</v>
      </c>
      <c r="D129" s="15" t="s">
        <v>432</v>
      </c>
      <c r="E129" s="16" t="s">
        <v>752</v>
      </c>
      <c r="F129" s="15" t="s">
        <v>753</v>
      </c>
    </row>
    <row r="130" customFormat="false" ht="15" hidden="false" customHeight="false" outlineLevel="0" collapsed="false">
      <c r="A130" s="15" t="s">
        <v>57</v>
      </c>
      <c r="B130" s="15" t="s">
        <v>431</v>
      </c>
      <c r="C130" s="15" t="str">
        <f aca="false">IFERROR(INDEX('Method &amp; Notes'!$B$24:$B$34,MATCH(B130,'Method &amp; Notes'!$A$24:$A$34,0)),"")</f>
        <v>Marketplaces and booking platforms</v>
      </c>
      <c r="D130" s="15" t="s">
        <v>468</v>
      </c>
      <c r="E130" s="16" t="s">
        <v>754</v>
      </c>
      <c r="F130" s="15" t="s">
        <v>755</v>
      </c>
    </row>
    <row r="131" customFormat="false" ht="15" hidden="false" customHeight="false" outlineLevel="0" collapsed="false">
      <c r="A131" s="15" t="s">
        <v>57</v>
      </c>
      <c r="B131" s="15" t="s">
        <v>431</v>
      </c>
      <c r="C131" s="15" t="str">
        <f aca="false">IFERROR(INDEX('Method &amp; Notes'!$B$24:$B$34,MATCH(B131,'Method &amp; Notes'!$A$24:$A$34,0)),"")</f>
        <v>Marketplaces and booking platforms</v>
      </c>
      <c r="D131" s="15" t="s">
        <v>435</v>
      </c>
      <c r="E131" s="16" t="s">
        <v>571</v>
      </c>
      <c r="F131" s="15" t="s">
        <v>756</v>
      </c>
    </row>
    <row r="132" customFormat="false" ht="15" hidden="false" customHeight="false" outlineLevel="0" collapsed="false">
      <c r="A132" s="15" t="s">
        <v>57</v>
      </c>
      <c r="B132" s="15" t="s">
        <v>441</v>
      </c>
      <c r="C132" s="15" t="str">
        <f aca="false">IFERROR(INDEX('Method &amp; Notes'!$B$24:$B$34,MATCH(B132,'Method &amp; Notes'!$A$24:$A$34,0)),"")</f>
        <v>Handyman business guides</v>
      </c>
      <c r="D132" s="15" t="s">
        <v>445</v>
      </c>
      <c r="E132" s="16" t="s">
        <v>446</v>
      </c>
      <c r="F132" s="15" t="s">
        <v>757</v>
      </c>
    </row>
    <row r="133" customFormat="false" ht="15" hidden="false" customHeight="false" outlineLevel="0" collapsed="false">
      <c r="A133" s="15" t="s">
        <v>57</v>
      </c>
      <c r="B133" s="15" t="s">
        <v>441</v>
      </c>
      <c r="C133" s="15" t="str">
        <f aca="false">IFERROR(INDEX('Method &amp; Notes'!$B$24:$B$34,MATCH(B133,'Method &amp; Notes'!$A$24:$A$34,0)),"")</f>
        <v>Handyman business guides</v>
      </c>
      <c r="D133" s="15" t="s">
        <v>758</v>
      </c>
      <c r="E133" s="16" t="s">
        <v>759</v>
      </c>
      <c r="F133" s="15" t="s">
        <v>760</v>
      </c>
    </row>
    <row r="134" customFormat="false" ht="23.85" hidden="false" customHeight="false" outlineLevel="0" collapsed="false">
      <c r="A134" s="15" t="s">
        <v>57</v>
      </c>
      <c r="B134" s="15" t="s">
        <v>448</v>
      </c>
      <c r="C134" s="15" t="str">
        <f aca="false">IFERROR(INDEX('Method &amp; Notes'!$B$24:$B$34,MATCH(B134,'Method &amp; Notes'!$A$24:$A$34,0)),"")</f>
        <v>Warranty claims and inspections</v>
      </c>
      <c r="D134" s="15" t="s">
        <v>698</v>
      </c>
      <c r="E134" s="16" t="s">
        <v>699</v>
      </c>
      <c r="F134" s="15" t="s">
        <v>761</v>
      </c>
    </row>
    <row r="135" customFormat="false" ht="35.05" hidden="false" customHeight="false" outlineLevel="0" collapsed="false">
      <c r="A135" s="15" t="s">
        <v>57</v>
      </c>
      <c r="B135" s="15" t="s">
        <v>452</v>
      </c>
      <c r="C135" s="15" t="str">
        <f aca="false">IFERROR(INDEX('Method &amp; Notes'!$B$24:$B$34,MATCH(B135,'Method &amp; Notes'!$A$24:$A$34,0)),"")</f>
        <v>DIY and how-to interest</v>
      </c>
      <c r="D135" s="15" t="s">
        <v>731</v>
      </c>
      <c r="E135" s="16" t="s">
        <v>732</v>
      </c>
      <c r="F135" s="15" t="s">
        <v>762</v>
      </c>
    </row>
    <row r="136" customFormat="false" ht="23.85" hidden="false" customHeight="false" outlineLevel="0" collapsed="false">
      <c r="A136" s="15" t="s">
        <v>57</v>
      </c>
      <c r="B136" s="15" t="s">
        <v>452</v>
      </c>
      <c r="C136" s="15" t="str">
        <f aca="false">IFERROR(INDEX('Method &amp; Notes'!$B$24:$B$34,MATCH(B136,'Method &amp; Notes'!$A$24:$A$34,0)),"")</f>
        <v>DIY and how-to interest</v>
      </c>
      <c r="D136" s="15" t="s">
        <v>456</v>
      </c>
      <c r="E136" s="16" t="s">
        <v>457</v>
      </c>
      <c r="F136" s="15" t="s">
        <v>763</v>
      </c>
    </row>
    <row r="137" customFormat="false" ht="23.85" hidden="false" customHeight="false" outlineLevel="0" collapsed="false">
      <c r="A137" s="15" t="s">
        <v>57</v>
      </c>
      <c r="B137" s="15" t="s">
        <v>459</v>
      </c>
      <c r="C137" s="15" t="str">
        <f aca="false">IFERROR(INDEX('Method &amp; Notes'!$B$24:$B$34,MATCH(B137,'Method &amp; Notes'!$A$24:$A$34,0)),"")</f>
        <v>Rental and property maintenance requests</v>
      </c>
      <c r="D137" s="15" t="s">
        <v>764</v>
      </c>
      <c r="E137" s="16" t="s">
        <v>765</v>
      </c>
      <c r="F137" s="15" t="s">
        <v>766</v>
      </c>
    </row>
    <row r="138" customFormat="false" ht="23.85" hidden="false" customHeight="false" outlineLevel="0" collapsed="false">
      <c r="A138" s="15" t="s">
        <v>57</v>
      </c>
      <c r="B138" s="15" t="s">
        <v>463</v>
      </c>
      <c r="C138" s="15" t="str">
        <f aca="false">IFERROR(INDEX('Method &amp; Notes'!$B$24:$B$34,MATCH(B138,'Method &amp; Notes'!$A$24:$A$34,0)),"")</f>
        <v>Memberships, concierge and retailer services</v>
      </c>
      <c r="D138" s="15" t="s">
        <v>767</v>
      </c>
      <c r="E138" s="16" t="s">
        <v>768</v>
      </c>
      <c r="F138" s="15" t="s">
        <v>769</v>
      </c>
    </row>
    <row r="139" customFormat="false" ht="23.85" hidden="false" customHeight="false" outlineLevel="0" collapsed="false">
      <c r="A139" s="15" t="s">
        <v>57</v>
      </c>
      <c r="B139" s="15" t="s">
        <v>463</v>
      </c>
      <c r="C139" s="15" t="str">
        <f aca="false">IFERROR(INDEX('Method &amp; Notes'!$B$24:$B$34,MATCH(B139,'Method &amp; Notes'!$A$24:$A$34,0)),"")</f>
        <v>Memberships, concierge and retailer services</v>
      </c>
      <c r="D139" s="15" t="s">
        <v>770</v>
      </c>
      <c r="E139" s="16" t="s">
        <v>771</v>
      </c>
      <c r="F139" s="15" t="s">
        <v>772</v>
      </c>
    </row>
    <row r="140" customFormat="false" ht="23.85" hidden="false" customHeight="false" outlineLevel="0" collapsed="false">
      <c r="A140" s="15" t="s">
        <v>57</v>
      </c>
      <c r="B140" s="15" t="s">
        <v>467</v>
      </c>
      <c r="C140" s="15" t="str">
        <f aca="false">IFERROR(INDEX('Method &amp; Notes'!$B$24:$B$34,MATCH(B140,'Method &amp; Notes'!$A$24:$A$34,0)),"")</f>
        <v>Time, cost and scope guides</v>
      </c>
      <c r="D140" s="15" t="s">
        <v>525</v>
      </c>
      <c r="E140" s="16" t="s">
        <v>773</v>
      </c>
      <c r="F140" s="15" t="s">
        <v>774</v>
      </c>
    </row>
    <row r="141" customFormat="false" ht="15" hidden="false" customHeight="false" outlineLevel="0" collapsed="false">
      <c r="A141" s="15" t="s">
        <v>57</v>
      </c>
      <c r="B141" s="15" t="s">
        <v>467</v>
      </c>
      <c r="C141" s="15" t="str">
        <f aca="false">IFERROR(INDEX('Method &amp; Notes'!$B$24:$B$34,MATCH(B141,'Method &amp; Notes'!$A$24:$A$34,0)),"")</f>
        <v>Time, cost and scope guides</v>
      </c>
      <c r="D141" s="15" t="s">
        <v>432</v>
      </c>
      <c r="E141" s="16" t="s">
        <v>775</v>
      </c>
      <c r="F141" s="15" t="s">
        <v>776</v>
      </c>
    </row>
    <row r="142" customFormat="false" ht="15" hidden="false" customHeight="false" outlineLevel="0" collapsed="false">
      <c r="A142" s="15" t="s">
        <v>61</v>
      </c>
      <c r="B142" s="15" t="s">
        <v>431</v>
      </c>
      <c r="C142" s="15" t="str">
        <f aca="false">IFERROR(INDEX('Method &amp; Notes'!$B$24:$B$34,MATCH(B142,'Method &amp; Notes'!$A$24:$A$34,0)),"")</f>
        <v>Marketplaces and booking platforms</v>
      </c>
      <c r="D142" s="15" t="s">
        <v>435</v>
      </c>
      <c r="E142" s="16" t="s">
        <v>777</v>
      </c>
      <c r="F142" s="15" t="s">
        <v>778</v>
      </c>
    </row>
    <row r="143" customFormat="false" ht="15" hidden="false" customHeight="false" outlineLevel="0" collapsed="false">
      <c r="A143" s="15" t="s">
        <v>61</v>
      </c>
      <c r="B143" s="15" t="s">
        <v>431</v>
      </c>
      <c r="C143" s="15" t="str">
        <f aca="false">IFERROR(INDEX('Method &amp; Notes'!$B$24:$B$34,MATCH(B143,'Method &amp; Notes'!$A$24:$A$34,0)),"")</f>
        <v>Marketplaces and booking platforms</v>
      </c>
      <c r="D143" s="15" t="s">
        <v>432</v>
      </c>
      <c r="E143" s="16" t="s">
        <v>775</v>
      </c>
      <c r="F143" s="15" t="s">
        <v>779</v>
      </c>
    </row>
    <row r="144" customFormat="false" ht="15" hidden="false" customHeight="false" outlineLevel="0" collapsed="false">
      <c r="A144" s="15" t="s">
        <v>61</v>
      </c>
      <c r="B144" s="15" t="s">
        <v>431</v>
      </c>
      <c r="C144" s="15" t="str">
        <f aca="false">IFERROR(INDEX('Method &amp; Notes'!$B$24:$B$34,MATCH(B144,'Method &amp; Notes'!$A$24:$A$34,0)),"")</f>
        <v>Marketplaces and booking platforms</v>
      </c>
      <c r="D144" s="15" t="s">
        <v>438</v>
      </c>
      <c r="E144" s="16" t="s">
        <v>439</v>
      </c>
      <c r="F144" s="15" t="s">
        <v>780</v>
      </c>
    </row>
    <row r="145" customFormat="false" ht="15" hidden="false" customHeight="false" outlineLevel="0" collapsed="false">
      <c r="A145" s="15" t="s">
        <v>61</v>
      </c>
      <c r="B145" s="15" t="s">
        <v>441</v>
      </c>
      <c r="C145" s="15" t="str">
        <f aca="false">IFERROR(INDEX('Method &amp; Notes'!$B$24:$B$34,MATCH(B145,'Method &amp; Notes'!$A$24:$A$34,0)),"")</f>
        <v>Handyman business guides</v>
      </c>
      <c r="D145" s="15" t="s">
        <v>499</v>
      </c>
      <c r="E145" s="16" t="s">
        <v>500</v>
      </c>
      <c r="F145" s="15" t="s">
        <v>781</v>
      </c>
    </row>
    <row r="146" customFormat="false" ht="23.85" hidden="false" customHeight="false" outlineLevel="0" collapsed="false">
      <c r="A146" s="15" t="s">
        <v>61</v>
      </c>
      <c r="B146" s="15" t="s">
        <v>441</v>
      </c>
      <c r="C146" s="15" t="str">
        <f aca="false">IFERROR(INDEX('Method &amp; Notes'!$B$24:$B$34,MATCH(B146,'Method &amp; Notes'!$A$24:$A$34,0)),"")</f>
        <v>Handyman business guides</v>
      </c>
      <c r="D146" s="15" t="s">
        <v>445</v>
      </c>
      <c r="E146" s="16" t="s">
        <v>446</v>
      </c>
      <c r="F146" s="15" t="s">
        <v>782</v>
      </c>
    </row>
    <row r="147" customFormat="false" ht="15" hidden="false" customHeight="false" outlineLevel="0" collapsed="false">
      <c r="A147" s="15" t="s">
        <v>61</v>
      </c>
      <c r="B147" s="15" t="s">
        <v>448</v>
      </c>
      <c r="C147" s="15" t="str">
        <f aca="false">IFERROR(INDEX('Method &amp; Notes'!$B$24:$B$34,MATCH(B147,'Method &amp; Notes'!$A$24:$A$34,0)),"")</f>
        <v>Warranty claims and inspections</v>
      </c>
      <c r="D147" s="15" t="s">
        <v>545</v>
      </c>
      <c r="E147" s="16" t="s">
        <v>546</v>
      </c>
      <c r="F147" s="15" t="s">
        <v>783</v>
      </c>
    </row>
    <row r="148" customFormat="false" ht="23.85" hidden="false" customHeight="false" outlineLevel="0" collapsed="false">
      <c r="A148" s="15" t="s">
        <v>61</v>
      </c>
      <c r="B148" s="15" t="s">
        <v>448</v>
      </c>
      <c r="C148" s="15" t="str">
        <f aca="false">IFERROR(INDEX('Method &amp; Notes'!$B$24:$B$34,MATCH(B148,'Method &amp; Notes'!$A$24:$A$34,0)),"")</f>
        <v>Warranty claims and inspections</v>
      </c>
      <c r="D148" s="15" t="s">
        <v>698</v>
      </c>
      <c r="E148" s="16" t="s">
        <v>699</v>
      </c>
      <c r="F148" s="15" t="s">
        <v>784</v>
      </c>
    </row>
    <row r="149" customFormat="false" ht="23.85" hidden="false" customHeight="false" outlineLevel="0" collapsed="false">
      <c r="A149" s="15" t="s">
        <v>61</v>
      </c>
      <c r="B149" s="15" t="s">
        <v>452</v>
      </c>
      <c r="C149" s="15" t="str">
        <f aca="false">IFERROR(INDEX('Method &amp; Notes'!$B$24:$B$34,MATCH(B149,'Method &amp; Notes'!$A$24:$A$34,0)),"")</f>
        <v>DIY and how-to interest</v>
      </c>
      <c r="D149" s="15" t="s">
        <v>453</v>
      </c>
      <c r="E149" s="16" t="s">
        <v>454</v>
      </c>
      <c r="F149" s="15" t="s">
        <v>785</v>
      </c>
    </row>
    <row r="150" customFormat="false" ht="15" hidden="false" customHeight="false" outlineLevel="0" collapsed="false">
      <c r="A150" s="15" t="s">
        <v>61</v>
      </c>
      <c r="B150" s="15" t="s">
        <v>452</v>
      </c>
      <c r="C150" s="15" t="str">
        <f aca="false">IFERROR(INDEX('Method &amp; Notes'!$B$24:$B$34,MATCH(B150,'Method &amp; Notes'!$A$24:$A$34,0)),"")</f>
        <v>DIY and how-to interest</v>
      </c>
      <c r="D150" s="15" t="s">
        <v>786</v>
      </c>
      <c r="E150" s="16" t="s">
        <v>787</v>
      </c>
      <c r="F150" s="15" t="s">
        <v>788</v>
      </c>
    </row>
    <row r="151" customFormat="false" ht="23.85" hidden="false" customHeight="false" outlineLevel="0" collapsed="false">
      <c r="A151" s="15" t="s">
        <v>61</v>
      </c>
      <c r="B151" s="15" t="s">
        <v>452</v>
      </c>
      <c r="C151" s="15" t="str">
        <f aca="false">IFERROR(INDEX('Method &amp; Notes'!$B$24:$B$34,MATCH(B151,'Method &amp; Notes'!$A$24:$A$34,0)),"")</f>
        <v>DIY and how-to interest</v>
      </c>
      <c r="D151" s="15" t="s">
        <v>789</v>
      </c>
      <c r="E151" s="16" t="s">
        <v>790</v>
      </c>
      <c r="F151" s="15" t="s">
        <v>791</v>
      </c>
    </row>
    <row r="152" customFormat="false" ht="23.85" hidden="false" customHeight="false" outlineLevel="0" collapsed="false">
      <c r="A152" s="15" t="s">
        <v>61</v>
      </c>
      <c r="B152" s="15" t="s">
        <v>459</v>
      </c>
      <c r="C152" s="15" t="str">
        <f aca="false">IFERROR(INDEX('Method &amp; Notes'!$B$24:$B$34,MATCH(B152,'Method &amp; Notes'!$A$24:$A$34,0)),"")</f>
        <v>Rental and property maintenance requests</v>
      </c>
      <c r="D152" s="15" t="s">
        <v>589</v>
      </c>
      <c r="E152" s="16" t="s">
        <v>590</v>
      </c>
      <c r="F152" s="15" t="s">
        <v>792</v>
      </c>
    </row>
    <row r="153" customFormat="false" ht="23.85" hidden="false" customHeight="false" outlineLevel="0" collapsed="false">
      <c r="A153" s="15" t="s">
        <v>61</v>
      </c>
      <c r="B153" s="15" t="s">
        <v>459</v>
      </c>
      <c r="C153" s="15" t="str">
        <f aca="false">IFERROR(INDEX('Method &amp; Notes'!$B$24:$B$34,MATCH(B153,'Method &amp; Notes'!$A$24:$A$34,0)),"")</f>
        <v>Rental and property maintenance requests</v>
      </c>
      <c r="D153" s="15" t="s">
        <v>592</v>
      </c>
      <c r="E153" s="16" t="s">
        <v>593</v>
      </c>
      <c r="F153" s="15" t="s">
        <v>793</v>
      </c>
    </row>
    <row r="154" customFormat="false" ht="15" hidden="false" customHeight="false" outlineLevel="0" collapsed="false">
      <c r="A154" s="15" t="s">
        <v>61</v>
      </c>
      <c r="B154" s="15" t="s">
        <v>467</v>
      </c>
      <c r="C154" s="15" t="str">
        <f aca="false">IFERROR(INDEX('Method &amp; Notes'!$B$24:$B$34,MATCH(B154,'Method &amp; Notes'!$A$24:$A$34,0)),"")</f>
        <v>Time, cost and scope guides</v>
      </c>
      <c r="D154" s="15" t="s">
        <v>432</v>
      </c>
      <c r="E154" s="16" t="s">
        <v>775</v>
      </c>
      <c r="F154" s="15" t="s">
        <v>776</v>
      </c>
    </row>
    <row r="155" customFormat="false" ht="15" hidden="false" customHeight="false" outlineLevel="0" collapsed="false">
      <c r="A155" s="15" t="s">
        <v>61</v>
      </c>
      <c r="B155" s="15" t="s">
        <v>467</v>
      </c>
      <c r="C155" s="15" t="str">
        <f aca="false">IFERROR(INDEX('Method &amp; Notes'!$B$24:$B$34,MATCH(B155,'Method &amp; Notes'!$A$24:$A$34,0)),"")</f>
        <v>Time, cost and scope guides</v>
      </c>
      <c r="D155" s="15" t="s">
        <v>794</v>
      </c>
      <c r="E155" s="16" t="s">
        <v>795</v>
      </c>
      <c r="F155" s="15" t="s">
        <v>796</v>
      </c>
    </row>
    <row r="156" customFormat="false" ht="23.85" hidden="false" customHeight="false" outlineLevel="0" collapsed="false">
      <c r="A156" s="15" t="s">
        <v>61</v>
      </c>
      <c r="B156" s="15" t="s">
        <v>486</v>
      </c>
      <c r="C156" s="15" t="str">
        <f aca="false">IFERROR(INDEX('Method &amp; Notes'!$B$24:$B$34,MATCH(B156,'Method &amp; Notes'!$A$24:$A$34,0)),"")</f>
        <v>Search demand</v>
      </c>
      <c r="D156" s="15" t="s">
        <v>797</v>
      </c>
      <c r="E156" s="16" t="s">
        <v>798</v>
      </c>
      <c r="F156" s="15" t="s">
        <v>799</v>
      </c>
    </row>
    <row r="157" customFormat="false" ht="23.85" hidden="false" customHeight="false" outlineLevel="0" collapsed="false">
      <c r="A157" s="15" t="s">
        <v>61</v>
      </c>
      <c r="B157" s="15" t="s">
        <v>486</v>
      </c>
      <c r="C157" s="15" t="str">
        <f aca="false">IFERROR(INDEX('Method &amp; Notes'!$B$24:$B$34,MATCH(B157,'Method &amp; Notes'!$A$24:$A$34,0)),"")</f>
        <v>Search demand</v>
      </c>
      <c r="D157" s="15" t="s">
        <v>800</v>
      </c>
      <c r="E157" s="16" t="s">
        <v>801</v>
      </c>
      <c r="F157" s="15" t="s">
        <v>802</v>
      </c>
    </row>
    <row r="158" customFormat="false" ht="15" hidden="false" customHeight="false" outlineLevel="0" collapsed="false">
      <c r="A158" s="15" t="s">
        <v>65</v>
      </c>
      <c r="B158" s="15" t="s">
        <v>431</v>
      </c>
      <c r="C158" s="15" t="str">
        <f aca="false">IFERROR(INDEX('Method &amp; Notes'!$B$24:$B$34,MATCH(B158,'Method &amp; Notes'!$A$24:$A$34,0)),"")</f>
        <v>Marketplaces and booking platforms</v>
      </c>
      <c r="D158" s="15" t="s">
        <v>435</v>
      </c>
      <c r="E158" s="16" t="s">
        <v>803</v>
      </c>
      <c r="F158" s="15" t="s">
        <v>804</v>
      </c>
    </row>
    <row r="159" customFormat="false" ht="15" hidden="false" customHeight="false" outlineLevel="0" collapsed="false">
      <c r="A159" s="15" t="s">
        <v>65</v>
      </c>
      <c r="B159" s="15" t="s">
        <v>431</v>
      </c>
      <c r="C159" s="15" t="str">
        <f aca="false">IFERROR(INDEX('Method &amp; Notes'!$B$24:$B$34,MATCH(B159,'Method &amp; Notes'!$A$24:$A$34,0)),"")</f>
        <v>Marketplaces and booking platforms</v>
      </c>
      <c r="D159" s="15" t="s">
        <v>438</v>
      </c>
      <c r="E159" s="16" t="s">
        <v>439</v>
      </c>
      <c r="F159" s="15" t="s">
        <v>805</v>
      </c>
    </row>
    <row r="160" customFormat="false" ht="23.85" hidden="false" customHeight="false" outlineLevel="0" collapsed="false">
      <c r="A160" s="15" t="s">
        <v>65</v>
      </c>
      <c r="B160" s="15" t="s">
        <v>441</v>
      </c>
      <c r="C160" s="15" t="str">
        <f aca="false">IFERROR(INDEX('Method &amp; Notes'!$B$24:$B$34,MATCH(B160,'Method &amp; Notes'!$A$24:$A$34,0)),"")</f>
        <v>Handyman business guides</v>
      </c>
      <c r="D160" s="15" t="s">
        <v>445</v>
      </c>
      <c r="E160" s="16" t="s">
        <v>446</v>
      </c>
      <c r="F160" s="15" t="s">
        <v>806</v>
      </c>
    </row>
    <row r="161" customFormat="false" ht="15" hidden="false" customHeight="false" outlineLevel="0" collapsed="false">
      <c r="A161" s="15" t="s">
        <v>65</v>
      </c>
      <c r="B161" s="15" t="s">
        <v>448</v>
      </c>
      <c r="C161" s="15" t="str">
        <f aca="false">IFERROR(INDEX('Method &amp; Notes'!$B$24:$B$34,MATCH(B161,'Method &amp; Notes'!$A$24:$A$34,0)),"")</f>
        <v>Warranty claims and inspections</v>
      </c>
      <c r="D161" s="15" t="s">
        <v>545</v>
      </c>
      <c r="E161" s="16" t="s">
        <v>546</v>
      </c>
      <c r="F161" s="15" t="s">
        <v>807</v>
      </c>
    </row>
    <row r="162" customFormat="false" ht="23.85" hidden="false" customHeight="false" outlineLevel="0" collapsed="false">
      <c r="A162" s="15" t="s">
        <v>65</v>
      </c>
      <c r="B162" s="15" t="s">
        <v>448</v>
      </c>
      <c r="C162" s="15" t="str">
        <f aca="false">IFERROR(INDEX('Method &amp; Notes'!$B$24:$B$34,MATCH(B162,'Method &amp; Notes'!$A$24:$A$34,0)),"")</f>
        <v>Warranty claims and inspections</v>
      </c>
      <c r="D162" s="15" t="s">
        <v>698</v>
      </c>
      <c r="E162" s="16" t="s">
        <v>699</v>
      </c>
      <c r="F162" s="15" t="s">
        <v>808</v>
      </c>
    </row>
    <row r="163" customFormat="false" ht="35.05" hidden="false" customHeight="false" outlineLevel="0" collapsed="false">
      <c r="A163" s="15" t="s">
        <v>65</v>
      </c>
      <c r="B163" s="15" t="s">
        <v>452</v>
      </c>
      <c r="C163" s="15" t="str">
        <f aca="false">IFERROR(INDEX('Method &amp; Notes'!$B$24:$B$34,MATCH(B163,'Method &amp; Notes'!$A$24:$A$34,0)),"")</f>
        <v>DIY and how-to interest</v>
      </c>
      <c r="D163" s="15" t="s">
        <v>548</v>
      </c>
      <c r="E163" s="16" t="s">
        <v>549</v>
      </c>
      <c r="F163" s="15" t="s">
        <v>809</v>
      </c>
    </row>
    <row r="164" customFormat="false" ht="23.85" hidden="false" customHeight="false" outlineLevel="0" collapsed="false">
      <c r="A164" s="15" t="s">
        <v>65</v>
      </c>
      <c r="B164" s="15" t="s">
        <v>452</v>
      </c>
      <c r="C164" s="15" t="str">
        <f aca="false">IFERROR(INDEX('Method &amp; Notes'!$B$24:$B$34,MATCH(B164,'Method &amp; Notes'!$A$24:$A$34,0)),"")</f>
        <v>DIY and how-to interest</v>
      </c>
      <c r="D164" s="15" t="s">
        <v>456</v>
      </c>
      <c r="E164" s="16" t="s">
        <v>457</v>
      </c>
      <c r="F164" s="15" t="s">
        <v>810</v>
      </c>
    </row>
    <row r="165" customFormat="false" ht="23.85" hidden="false" customHeight="false" outlineLevel="0" collapsed="false">
      <c r="A165" s="15" t="s">
        <v>65</v>
      </c>
      <c r="B165" s="15" t="s">
        <v>459</v>
      </c>
      <c r="C165" s="15" t="str">
        <f aca="false">IFERROR(INDEX('Method &amp; Notes'!$B$24:$B$34,MATCH(B165,'Method &amp; Notes'!$A$24:$A$34,0)),"")</f>
        <v>Rental and property maintenance requests</v>
      </c>
      <c r="D165" s="15" t="s">
        <v>554</v>
      </c>
      <c r="E165" s="16" t="s">
        <v>555</v>
      </c>
      <c r="F165" s="15" t="s">
        <v>811</v>
      </c>
    </row>
    <row r="166" customFormat="false" ht="23.85" hidden="false" customHeight="false" outlineLevel="0" collapsed="false">
      <c r="A166" s="15" t="s">
        <v>65</v>
      </c>
      <c r="B166" s="15" t="s">
        <v>463</v>
      </c>
      <c r="C166" s="15" t="str">
        <f aca="false">IFERROR(INDEX('Method &amp; Notes'!$B$24:$B$34,MATCH(B166,'Method &amp; Notes'!$A$24:$A$34,0)),"")</f>
        <v>Memberships, concierge and retailer services</v>
      </c>
      <c r="D166" s="15" t="s">
        <v>812</v>
      </c>
      <c r="E166" s="16" t="s">
        <v>813</v>
      </c>
      <c r="F166" s="15" t="s">
        <v>814</v>
      </c>
    </row>
    <row r="167" customFormat="false" ht="23.85" hidden="false" customHeight="false" outlineLevel="0" collapsed="false">
      <c r="A167" s="15" t="s">
        <v>65</v>
      </c>
      <c r="B167" s="15" t="s">
        <v>467</v>
      </c>
      <c r="C167" s="15" t="str">
        <f aca="false">IFERROR(INDEX('Method &amp; Notes'!$B$24:$B$34,MATCH(B167,'Method &amp; Notes'!$A$24:$A$34,0)),"")</f>
        <v>Time, cost and scope guides</v>
      </c>
      <c r="D167" s="15" t="s">
        <v>435</v>
      </c>
      <c r="E167" s="16" t="s">
        <v>815</v>
      </c>
      <c r="F167" s="15" t="s">
        <v>816</v>
      </c>
    </row>
    <row r="168" customFormat="false" ht="15" hidden="false" customHeight="false" outlineLevel="0" collapsed="false">
      <c r="A168" s="15" t="s">
        <v>65</v>
      </c>
      <c r="B168" s="15" t="s">
        <v>467</v>
      </c>
      <c r="C168" s="15" t="str">
        <f aca="false">IFERROR(INDEX('Method &amp; Notes'!$B$24:$B$34,MATCH(B168,'Method &amp; Notes'!$A$24:$A$34,0)),"")</f>
        <v>Time, cost and scope guides</v>
      </c>
      <c r="D168" s="15" t="s">
        <v>525</v>
      </c>
      <c r="E168" s="16" t="s">
        <v>817</v>
      </c>
      <c r="F168" s="15" t="s">
        <v>818</v>
      </c>
    </row>
    <row r="169" customFormat="false" ht="15" hidden="false" customHeight="false" outlineLevel="0" collapsed="false">
      <c r="A169" s="15" t="s">
        <v>65</v>
      </c>
      <c r="B169" s="15" t="s">
        <v>467</v>
      </c>
      <c r="C169" s="15" t="str">
        <f aca="false">IFERROR(INDEX('Method &amp; Notes'!$B$24:$B$34,MATCH(B169,'Method &amp; Notes'!$A$24:$A$34,0)),"")</f>
        <v>Time, cost and scope guides</v>
      </c>
      <c r="D169" s="15" t="s">
        <v>435</v>
      </c>
      <c r="E169" s="16" t="s">
        <v>819</v>
      </c>
      <c r="F169" s="15" t="s">
        <v>820</v>
      </c>
    </row>
    <row r="170" customFormat="false" ht="23.85" hidden="false" customHeight="false" outlineLevel="0" collapsed="false">
      <c r="A170" s="15" t="s">
        <v>69</v>
      </c>
      <c r="B170" s="15" t="s">
        <v>431</v>
      </c>
      <c r="C170" s="15" t="str">
        <f aca="false">IFERROR(INDEX('Method &amp; Notes'!$B$24:$B$34,MATCH(B170,'Method &amp; Notes'!$A$24:$A$34,0)),"")</f>
        <v>Marketplaces and booking platforms</v>
      </c>
      <c r="D170" s="15" t="s">
        <v>442</v>
      </c>
      <c r="E170" s="16" t="s">
        <v>443</v>
      </c>
      <c r="F170" s="15" t="s">
        <v>821</v>
      </c>
    </row>
    <row r="171" customFormat="false" ht="15" hidden="false" customHeight="false" outlineLevel="0" collapsed="false">
      <c r="A171" s="15" t="s">
        <v>69</v>
      </c>
      <c r="B171" s="15" t="s">
        <v>431</v>
      </c>
      <c r="C171" s="15" t="str">
        <f aca="false">IFERROR(INDEX('Method &amp; Notes'!$B$24:$B$34,MATCH(B171,'Method &amp; Notes'!$A$24:$A$34,0)),"")</f>
        <v>Marketplaces and booking platforms</v>
      </c>
      <c r="D171" s="15" t="s">
        <v>758</v>
      </c>
      <c r="E171" s="16" t="s">
        <v>822</v>
      </c>
      <c r="F171" s="15" t="s">
        <v>823</v>
      </c>
    </row>
    <row r="172" customFormat="false" ht="15" hidden="false" customHeight="false" outlineLevel="0" collapsed="false">
      <c r="A172" s="15" t="s">
        <v>69</v>
      </c>
      <c r="B172" s="15" t="s">
        <v>441</v>
      </c>
      <c r="C172" s="15" t="str">
        <f aca="false">IFERROR(INDEX('Method &amp; Notes'!$B$24:$B$34,MATCH(B172,'Method &amp; Notes'!$A$24:$A$34,0)),"")</f>
        <v>Handyman business guides</v>
      </c>
      <c r="D172" s="15" t="s">
        <v>824</v>
      </c>
      <c r="E172" s="16" t="s">
        <v>825</v>
      </c>
      <c r="F172" s="15" t="s">
        <v>826</v>
      </c>
    </row>
    <row r="173" customFormat="false" ht="15" hidden="false" customHeight="false" outlineLevel="0" collapsed="false">
      <c r="A173" s="15" t="s">
        <v>69</v>
      </c>
      <c r="B173" s="15" t="s">
        <v>448</v>
      </c>
      <c r="C173" s="15" t="str">
        <f aca="false">IFERROR(INDEX('Method &amp; Notes'!$B$24:$B$34,MATCH(B173,'Method &amp; Notes'!$A$24:$A$34,0)),"")</f>
        <v>Warranty claims and inspections</v>
      </c>
      <c r="D173" s="15" t="s">
        <v>827</v>
      </c>
      <c r="E173" s="16" t="s">
        <v>828</v>
      </c>
      <c r="F173" s="15" t="s">
        <v>829</v>
      </c>
    </row>
    <row r="174" customFormat="false" ht="23.85" hidden="false" customHeight="false" outlineLevel="0" collapsed="false">
      <c r="A174" s="15" t="s">
        <v>69</v>
      </c>
      <c r="B174" s="15" t="s">
        <v>452</v>
      </c>
      <c r="C174" s="15" t="str">
        <f aca="false">IFERROR(INDEX('Method &amp; Notes'!$B$24:$B$34,MATCH(B174,'Method &amp; Notes'!$A$24:$A$34,0)),"")</f>
        <v>DIY and how-to interest</v>
      </c>
      <c r="D174" s="15" t="s">
        <v>453</v>
      </c>
      <c r="E174" s="16" t="s">
        <v>454</v>
      </c>
      <c r="F174" s="15" t="s">
        <v>830</v>
      </c>
    </row>
    <row r="175" customFormat="false" ht="23.85" hidden="false" customHeight="false" outlineLevel="0" collapsed="false">
      <c r="A175" s="15" t="s">
        <v>69</v>
      </c>
      <c r="B175" s="15" t="s">
        <v>459</v>
      </c>
      <c r="C175" s="15" t="str">
        <f aca="false">IFERROR(INDEX('Method &amp; Notes'!$B$24:$B$34,MATCH(B175,'Method &amp; Notes'!$A$24:$A$34,0)),"")</f>
        <v>Rental and property maintenance requests</v>
      </c>
      <c r="D175" s="15" t="s">
        <v>551</v>
      </c>
      <c r="E175" s="16" t="s">
        <v>552</v>
      </c>
      <c r="F175" s="15" t="s">
        <v>831</v>
      </c>
    </row>
    <row r="176" customFormat="false" ht="23.85" hidden="false" customHeight="false" outlineLevel="0" collapsed="false">
      <c r="A176" s="15" t="s">
        <v>69</v>
      </c>
      <c r="B176" s="15" t="s">
        <v>463</v>
      </c>
      <c r="C176" s="15" t="str">
        <f aca="false">IFERROR(INDEX('Method &amp; Notes'!$B$24:$B$34,MATCH(B176,'Method &amp; Notes'!$A$24:$A$34,0)),"")</f>
        <v>Memberships, concierge and retailer services</v>
      </c>
      <c r="D176" s="15" t="s">
        <v>638</v>
      </c>
      <c r="E176" s="16" t="s">
        <v>639</v>
      </c>
      <c r="F176" s="15" t="s">
        <v>832</v>
      </c>
    </row>
    <row r="177" customFormat="false" ht="23.85" hidden="false" customHeight="false" outlineLevel="0" collapsed="false">
      <c r="A177" s="15" t="s">
        <v>69</v>
      </c>
      <c r="B177" s="15" t="s">
        <v>477</v>
      </c>
      <c r="C177" s="15" t="str">
        <f aca="false">IFERROR(INDEX('Method &amp; Notes'!$B$24:$B$34,MATCH(B177,'Method &amp; Notes'!$A$24:$A$34,0)),"")</f>
        <v>Regional, seasonal and emerging demand</v>
      </c>
      <c r="D177" s="15" t="s">
        <v>478</v>
      </c>
      <c r="E177" s="16" t="s">
        <v>443</v>
      </c>
      <c r="F177" s="15" t="s">
        <v>833</v>
      </c>
    </row>
    <row r="178" customFormat="false" ht="23.85" hidden="false" customHeight="false" outlineLevel="0" collapsed="false">
      <c r="A178" s="15" t="s">
        <v>69</v>
      </c>
      <c r="B178" s="15" t="s">
        <v>477</v>
      </c>
      <c r="C178" s="15" t="str">
        <f aca="false">IFERROR(INDEX('Method &amp; Notes'!$B$24:$B$34,MATCH(B178,'Method &amp; Notes'!$A$24:$A$34,0)),"")</f>
        <v>Regional, seasonal and emerging demand</v>
      </c>
      <c r="D178" s="15" t="s">
        <v>834</v>
      </c>
      <c r="E178" s="16" t="s">
        <v>835</v>
      </c>
      <c r="F178" s="15" t="s">
        <v>836</v>
      </c>
    </row>
    <row r="179" customFormat="false" ht="23.85" hidden="false" customHeight="false" outlineLevel="0" collapsed="false">
      <c r="A179" s="15" t="s">
        <v>73</v>
      </c>
      <c r="B179" s="15" t="s">
        <v>431</v>
      </c>
      <c r="C179" s="15" t="str">
        <f aca="false">IFERROR(INDEX('Method &amp; Notes'!$B$24:$B$34,MATCH(B179,'Method &amp; Notes'!$A$24:$A$34,0)),"")</f>
        <v>Marketplaces and booking platforms</v>
      </c>
      <c r="D179" s="15" t="s">
        <v>468</v>
      </c>
      <c r="E179" s="16" t="s">
        <v>837</v>
      </c>
      <c r="F179" s="15" t="s">
        <v>838</v>
      </c>
    </row>
    <row r="180" customFormat="false" ht="15" hidden="false" customHeight="false" outlineLevel="0" collapsed="false">
      <c r="A180" s="15" t="s">
        <v>73</v>
      </c>
      <c r="B180" s="15" t="s">
        <v>431</v>
      </c>
      <c r="C180" s="15" t="str">
        <f aca="false">IFERROR(INDEX('Method &amp; Notes'!$B$24:$B$34,MATCH(B180,'Method &amp; Notes'!$A$24:$A$34,0)),"")</f>
        <v>Marketplaces and booking platforms</v>
      </c>
      <c r="D180" s="15" t="s">
        <v>432</v>
      </c>
      <c r="E180" s="16" t="s">
        <v>839</v>
      </c>
      <c r="F180" s="15" t="s">
        <v>840</v>
      </c>
    </row>
    <row r="181" customFormat="false" ht="23.85" hidden="false" customHeight="false" outlineLevel="0" collapsed="false">
      <c r="A181" s="15" t="s">
        <v>73</v>
      </c>
      <c r="B181" s="15" t="s">
        <v>431</v>
      </c>
      <c r="C181" s="15" t="str">
        <f aca="false">IFERROR(INDEX('Method &amp; Notes'!$B$24:$B$34,MATCH(B181,'Method &amp; Notes'!$A$24:$A$34,0)),"")</f>
        <v>Marketplaces and booking platforms</v>
      </c>
      <c r="D181" s="15" t="s">
        <v>435</v>
      </c>
      <c r="E181" s="16" t="s">
        <v>841</v>
      </c>
      <c r="F181" s="15" t="s">
        <v>842</v>
      </c>
    </row>
    <row r="182" customFormat="false" ht="23.85" hidden="false" customHeight="false" outlineLevel="0" collapsed="false">
      <c r="A182" s="15" t="s">
        <v>73</v>
      </c>
      <c r="B182" s="15" t="s">
        <v>441</v>
      </c>
      <c r="C182" s="15" t="str">
        <f aca="false">IFERROR(INDEX('Method &amp; Notes'!$B$24:$B$34,MATCH(B182,'Method &amp; Notes'!$A$24:$A$34,0)),"")</f>
        <v>Handyman business guides</v>
      </c>
      <c r="D182" s="15" t="s">
        <v>843</v>
      </c>
      <c r="E182" s="16" t="s">
        <v>844</v>
      </c>
      <c r="F182" s="15" t="s">
        <v>845</v>
      </c>
    </row>
    <row r="183" customFormat="false" ht="15" hidden="false" customHeight="false" outlineLevel="0" collapsed="false">
      <c r="A183" s="15" t="s">
        <v>73</v>
      </c>
      <c r="B183" s="15" t="s">
        <v>441</v>
      </c>
      <c r="C183" s="15" t="str">
        <f aca="false">IFERROR(INDEX('Method &amp; Notes'!$B$24:$B$34,MATCH(B183,'Method &amp; Notes'!$A$24:$A$34,0)),"")</f>
        <v>Handyman business guides</v>
      </c>
      <c r="D183" s="15" t="s">
        <v>619</v>
      </c>
      <c r="E183" s="16" t="s">
        <v>620</v>
      </c>
      <c r="F183" s="15" t="s">
        <v>846</v>
      </c>
    </row>
    <row r="184" customFormat="false" ht="35.05" hidden="false" customHeight="false" outlineLevel="0" collapsed="false">
      <c r="A184" s="15" t="s">
        <v>73</v>
      </c>
      <c r="B184" s="15" t="s">
        <v>452</v>
      </c>
      <c r="C184" s="15" t="str">
        <f aca="false">IFERROR(INDEX('Method &amp; Notes'!$B$24:$B$34,MATCH(B184,'Method &amp; Notes'!$A$24:$A$34,0)),"")</f>
        <v>DIY and how-to interest</v>
      </c>
      <c r="D184" s="15" t="s">
        <v>731</v>
      </c>
      <c r="E184" s="16" t="s">
        <v>732</v>
      </c>
      <c r="F184" s="15" t="s">
        <v>847</v>
      </c>
    </row>
    <row r="185" customFormat="false" ht="23.85" hidden="false" customHeight="false" outlineLevel="0" collapsed="false">
      <c r="A185" s="15" t="s">
        <v>73</v>
      </c>
      <c r="B185" s="15" t="s">
        <v>452</v>
      </c>
      <c r="C185" s="15" t="str">
        <f aca="false">IFERROR(INDEX('Method &amp; Notes'!$B$24:$B$34,MATCH(B185,'Method &amp; Notes'!$A$24:$A$34,0)),"")</f>
        <v>DIY and how-to interest</v>
      </c>
      <c r="D185" s="15" t="s">
        <v>848</v>
      </c>
      <c r="E185" s="16" t="s">
        <v>849</v>
      </c>
      <c r="F185" s="15" t="s">
        <v>850</v>
      </c>
    </row>
    <row r="186" customFormat="false" ht="23.85" hidden="false" customHeight="false" outlineLevel="0" collapsed="false">
      <c r="A186" s="15" t="s">
        <v>73</v>
      </c>
      <c r="B186" s="15" t="s">
        <v>463</v>
      </c>
      <c r="C186" s="15" t="str">
        <f aca="false">IFERROR(INDEX('Method &amp; Notes'!$B$24:$B$34,MATCH(B186,'Method &amp; Notes'!$A$24:$A$34,0)),"")</f>
        <v>Memberships, concierge and retailer services</v>
      </c>
      <c r="D186" s="15" t="s">
        <v>851</v>
      </c>
      <c r="E186" s="16" t="s">
        <v>852</v>
      </c>
      <c r="F186" s="15" t="s">
        <v>853</v>
      </c>
    </row>
    <row r="187" customFormat="false" ht="23.85" hidden="false" customHeight="false" outlineLevel="0" collapsed="false">
      <c r="A187" s="15" t="s">
        <v>73</v>
      </c>
      <c r="B187" s="15" t="s">
        <v>463</v>
      </c>
      <c r="C187" s="15" t="str">
        <f aca="false">IFERROR(INDEX('Method &amp; Notes'!$B$24:$B$34,MATCH(B187,'Method &amp; Notes'!$A$24:$A$34,0)),"")</f>
        <v>Memberships, concierge and retailer services</v>
      </c>
      <c r="D187" s="15" t="s">
        <v>854</v>
      </c>
      <c r="E187" s="16" t="s">
        <v>855</v>
      </c>
      <c r="F187" s="15" t="s">
        <v>856</v>
      </c>
    </row>
    <row r="188" customFormat="false" ht="23.85" hidden="false" customHeight="false" outlineLevel="0" collapsed="false">
      <c r="A188" s="15" t="s">
        <v>73</v>
      </c>
      <c r="B188" s="15" t="s">
        <v>857</v>
      </c>
      <c r="C188" s="15" t="str">
        <f aca="false">IFERROR(INDEX('Method &amp; Notes'!$B$24:$B$34,MATCH(B188,'Method &amp; Notes'!$A$24:$A$34,0)),"")</f>
        <v>Extra web searches after the review pass</v>
      </c>
      <c r="D188" s="15" t="s">
        <v>858</v>
      </c>
      <c r="E188" s="16" t="s">
        <v>859</v>
      </c>
      <c r="F188" s="15" t="s">
        <v>860</v>
      </c>
    </row>
    <row r="189" customFormat="false" ht="23.85" hidden="false" customHeight="false" outlineLevel="0" collapsed="false">
      <c r="A189" s="15" t="s">
        <v>73</v>
      </c>
      <c r="B189" s="15" t="s">
        <v>857</v>
      </c>
      <c r="C189" s="15" t="str">
        <f aca="false">IFERROR(INDEX('Method &amp; Notes'!$B$24:$B$34,MATCH(B189,'Method &amp; Notes'!$A$24:$A$34,0)),"")</f>
        <v>Extra web searches after the review pass</v>
      </c>
      <c r="D189" s="15" t="s">
        <v>861</v>
      </c>
      <c r="E189" s="16" t="s">
        <v>862</v>
      </c>
      <c r="F189" s="15" t="s">
        <v>863</v>
      </c>
    </row>
    <row r="190" customFormat="false" ht="15" hidden="false" customHeight="false" outlineLevel="0" collapsed="false">
      <c r="A190" s="15" t="s">
        <v>73</v>
      </c>
      <c r="B190" s="15" t="s">
        <v>467</v>
      </c>
      <c r="C190" s="15" t="str">
        <f aca="false">IFERROR(INDEX('Method &amp; Notes'!$B$24:$B$34,MATCH(B190,'Method &amp; Notes'!$A$24:$A$34,0)),"")</f>
        <v>Time, cost and scope guides</v>
      </c>
      <c r="D190" s="15" t="s">
        <v>432</v>
      </c>
      <c r="E190" s="16" t="s">
        <v>864</v>
      </c>
      <c r="F190" s="15" t="s">
        <v>865</v>
      </c>
    </row>
    <row r="191" customFormat="false" ht="15" hidden="false" customHeight="false" outlineLevel="0" collapsed="false">
      <c r="A191" s="15" t="s">
        <v>73</v>
      </c>
      <c r="B191" s="15" t="s">
        <v>467</v>
      </c>
      <c r="C191" s="15" t="str">
        <f aca="false">IFERROR(INDEX('Method &amp; Notes'!$B$24:$B$34,MATCH(B191,'Method &amp; Notes'!$A$24:$A$34,0)),"")</f>
        <v>Time, cost and scope guides</v>
      </c>
      <c r="D191" s="15" t="s">
        <v>866</v>
      </c>
      <c r="E191" s="16" t="s">
        <v>867</v>
      </c>
      <c r="F191" s="15" t="s">
        <v>868</v>
      </c>
    </row>
    <row r="192" customFormat="false" ht="23.85" hidden="false" customHeight="false" outlineLevel="0" collapsed="false">
      <c r="A192" s="15" t="s">
        <v>73</v>
      </c>
      <c r="B192" s="15" t="s">
        <v>477</v>
      </c>
      <c r="C192" s="15" t="str">
        <f aca="false">IFERROR(INDEX('Method &amp; Notes'!$B$24:$B$34,MATCH(B192,'Method &amp; Notes'!$A$24:$A$34,0)),"")</f>
        <v>Regional, seasonal and emerging demand</v>
      </c>
      <c r="D192" s="15" t="s">
        <v>480</v>
      </c>
      <c r="E192" s="16" t="s">
        <v>481</v>
      </c>
      <c r="F192" s="15" t="s">
        <v>869</v>
      </c>
    </row>
    <row r="193" customFormat="false" ht="23.85" hidden="false" customHeight="false" outlineLevel="0" collapsed="false">
      <c r="A193" s="15" t="s">
        <v>73</v>
      </c>
      <c r="B193" s="15" t="s">
        <v>477</v>
      </c>
      <c r="C193" s="15" t="str">
        <f aca="false">IFERROR(INDEX('Method &amp; Notes'!$B$24:$B$34,MATCH(B193,'Method &amp; Notes'!$A$24:$A$34,0)),"")</f>
        <v>Regional, seasonal and emerging demand</v>
      </c>
      <c r="D193" s="15" t="s">
        <v>870</v>
      </c>
      <c r="E193" s="16" t="s">
        <v>871</v>
      </c>
      <c r="F193" s="15" t="s">
        <v>872</v>
      </c>
    </row>
    <row r="194" customFormat="false" ht="23.85" hidden="false" customHeight="false" outlineLevel="0" collapsed="false">
      <c r="A194" s="15" t="s">
        <v>73</v>
      </c>
      <c r="B194" s="15" t="s">
        <v>477</v>
      </c>
      <c r="C194" s="15" t="str">
        <f aca="false">IFERROR(INDEX('Method &amp; Notes'!$B$24:$B$34,MATCH(B194,'Method &amp; Notes'!$A$24:$A$34,0)),"")</f>
        <v>Regional, seasonal and emerging demand</v>
      </c>
      <c r="D194" s="15" t="s">
        <v>873</v>
      </c>
      <c r="E194" s="16" t="s">
        <v>874</v>
      </c>
      <c r="F194" s="15" t="s">
        <v>875</v>
      </c>
    </row>
    <row r="195" customFormat="false" ht="23.85" hidden="false" customHeight="false" outlineLevel="0" collapsed="false">
      <c r="A195" s="15" t="s">
        <v>73</v>
      </c>
      <c r="B195" s="15" t="s">
        <v>486</v>
      </c>
      <c r="C195" s="15" t="str">
        <f aca="false">IFERROR(INDEX('Method &amp; Notes'!$B$24:$B$34,MATCH(B195,'Method &amp; Notes'!$A$24:$A$34,0)),"")</f>
        <v>Search demand</v>
      </c>
      <c r="D195" s="15" t="s">
        <v>876</v>
      </c>
      <c r="E195" s="16" t="s">
        <v>877</v>
      </c>
      <c r="F195" s="15" t="s">
        <v>878</v>
      </c>
    </row>
    <row r="196" customFormat="false" ht="23.85" hidden="false" customHeight="false" outlineLevel="0" collapsed="false">
      <c r="A196" s="15" t="s">
        <v>73</v>
      </c>
      <c r="B196" s="15" t="s">
        <v>486</v>
      </c>
      <c r="C196" s="15" t="str">
        <f aca="false">IFERROR(INDEX('Method &amp; Notes'!$B$24:$B$34,MATCH(B196,'Method &amp; Notes'!$A$24:$A$34,0)),"")</f>
        <v>Search demand</v>
      </c>
      <c r="D196" s="15" t="s">
        <v>879</v>
      </c>
      <c r="E196" s="16" t="s">
        <v>880</v>
      </c>
      <c r="F196" s="15" t="s">
        <v>881</v>
      </c>
    </row>
    <row r="197" customFormat="false" ht="23.85" hidden="false" customHeight="false" outlineLevel="0" collapsed="false">
      <c r="A197" s="15" t="s">
        <v>73</v>
      </c>
      <c r="B197" s="15" t="s">
        <v>486</v>
      </c>
      <c r="C197" s="15" t="str">
        <f aca="false">IFERROR(INDEX('Method &amp; Notes'!$B$24:$B$34,MATCH(B197,'Method &amp; Notes'!$A$24:$A$34,0)),"")</f>
        <v>Search demand</v>
      </c>
      <c r="D197" s="15" t="s">
        <v>487</v>
      </c>
      <c r="E197" s="16" t="s">
        <v>488</v>
      </c>
      <c r="F197" s="15" t="s">
        <v>882</v>
      </c>
    </row>
    <row r="198" customFormat="false" ht="15" hidden="false" customHeight="false" outlineLevel="0" collapsed="false">
      <c r="A198" s="15" t="s">
        <v>78</v>
      </c>
      <c r="B198" s="15" t="s">
        <v>431</v>
      </c>
      <c r="C198" s="15" t="str">
        <f aca="false">IFERROR(INDEX('Method &amp; Notes'!$B$24:$B$34,MATCH(B198,'Method &amp; Notes'!$A$24:$A$34,0)),"")</f>
        <v>Marketplaces and booking platforms</v>
      </c>
      <c r="D198" s="15" t="s">
        <v>432</v>
      </c>
      <c r="E198" s="16" t="s">
        <v>883</v>
      </c>
      <c r="F198" s="15" t="s">
        <v>884</v>
      </c>
    </row>
    <row r="199" customFormat="false" ht="15" hidden="false" customHeight="false" outlineLevel="0" collapsed="false">
      <c r="A199" s="15" t="s">
        <v>78</v>
      </c>
      <c r="B199" s="15" t="s">
        <v>431</v>
      </c>
      <c r="C199" s="15" t="str">
        <f aca="false">IFERROR(INDEX('Method &amp; Notes'!$B$24:$B$34,MATCH(B199,'Method &amp; Notes'!$A$24:$A$34,0)),"")</f>
        <v>Marketplaces and booking platforms</v>
      </c>
      <c r="D199" s="15" t="s">
        <v>598</v>
      </c>
      <c r="E199" s="16" t="s">
        <v>599</v>
      </c>
      <c r="F199" s="15" t="s">
        <v>885</v>
      </c>
    </row>
    <row r="200" customFormat="false" ht="15" hidden="false" customHeight="false" outlineLevel="0" collapsed="false">
      <c r="A200" s="15" t="s">
        <v>78</v>
      </c>
      <c r="B200" s="15" t="s">
        <v>441</v>
      </c>
      <c r="C200" s="15" t="str">
        <f aca="false">IFERROR(INDEX('Method &amp; Notes'!$B$24:$B$34,MATCH(B200,'Method &amp; Notes'!$A$24:$A$34,0)),"")</f>
        <v>Handyman business guides</v>
      </c>
      <c r="D200" s="15" t="s">
        <v>886</v>
      </c>
      <c r="E200" s="16" t="s">
        <v>887</v>
      </c>
      <c r="F200" s="15" t="s">
        <v>888</v>
      </c>
    </row>
    <row r="201" customFormat="false" ht="23.85" hidden="false" customHeight="false" outlineLevel="0" collapsed="false">
      <c r="A201" s="15" t="s">
        <v>78</v>
      </c>
      <c r="B201" s="15" t="s">
        <v>452</v>
      </c>
      <c r="C201" s="15" t="str">
        <f aca="false">IFERROR(INDEX('Method &amp; Notes'!$B$24:$B$34,MATCH(B201,'Method &amp; Notes'!$A$24:$A$34,0)),"")</f>
        <v>DIY and how-to interest</v>
      </c>
      <c r="D201" s="15" t="s">
        <v>889</v>
      </c>
      <c r="E201" s="16" t="s">
        <v>890</v>
      </c>
      <c r="F201" s="15" t="s">
        <v>891</v>
      </c>
    </row>
    <row r="202" customFormat="false" ht="23.85" hidden="false" customHeight="false" outlineLevel="0" collapsed="false">
      <c r="A202" s="15" t="s">
        <v>78</v>
      </c>
      <c r="B202" s="15" t="s">
        <v>452</v>
      </c>
      <c r="C202" s="15" t="str">
        <f aca="false">IFERROR(INDEX('Method &amp; Notes'!$B$24:$B$34,MATCH(B202,'Method &amp; Notes'!$A$24:$A$34,0)),"")</f>
        <v>DIY and how-to interest</v>
      </c>
      <c r="D202" s="15" t="s">
        <v>892</v>
      </c>
      <c r="E202" s="16" t="s">
        <v>893</v>
      </c>
      <c r="F202" s="15" t="s">
        <v>894</v>
      </c>
    </row>
    <row r="203" customFormat="false" ht="23.85" hidden="false" customHeight="false" outlineLevel="0" collapsed="false">
      <c r="A203" s="15" t="s">
        <v>78</v>
      </c>
      <c r="B203" s="15" t="s">
        <v>459</v>
      </c>
      <c r="C203" s="15" t="str">
        <f aca="false">IFERROR(INDEX('Method &amp; Notes'!$B$24:$B$34,MATCH(B203,'Method &amp; Notes'!$A$24:$A$34,0)),"")</f>
        <v>Rental and property maintenance requests</v>
      </c>
      <c r="D203" s="15" t="s">
        <v>589</v>
      </c>
      <c r="E203" s="16" t="s">
        <v>590</v>
      </c>
      <c r="F203" s="15" t="s">
        <v>895</v>
      </c>
    </row>
    <row r="204" customFormat="false" ht="23.85" hidden="false" customHeight="false" outlineLevel="0" collapsed="false">
      <c r="A204" s="15" t="s">
        <v>78</v>
      </c>
      <c r="B204" s="15" t="s">
        <v>459</v>
      </c>
      <c r="C204" s="15" t="str">
        <f aca="false">IFERROR(INDEX('Method &amp; Notes'!$B$24:$B$34,MATCH(B204,'Method &amp; Notes'!$A$24:$A$34,0)),"")</f>
        <v>Rental and property maintenance requests</v>
      </c>
      <c r="D204" s="15" t="s">
        <v>706</v>
      </c>
      <c r="E204" s="16" t="s">
        <v>707</v>
      </c>
      <c r="F204" s="15" t="s">
        <v>896</v>
      </c>
    </row>
    <row r="205" customFormat="false" ht="23.85" hidden="false" customHeight="false" outlineLevel="0" collapsed="false">
      <c r="A205" s="15" t="s">
        <v>78</v>
      </c>
      <c r="B205" s="15" t="s">
        <v>463</v>
      </c>
      <c r="C205" s="15" t="str">
        <f aca="false">IFERROR(INDEX('Method &amp; Notes'!$B$24:$B$34,MATCH(B205,'Method &amp; Notes'!$A$24:$A$34,0)),"")</f>
        <v>Memberships, concierge and retailer services</v>
      </c>
      <c r="D205" s="15" t="s">
        <v>897</v>
      </c>
      <c r="E205" s="16" t="s">
        <v>898</v>
      </c>
      <c r="F205" s="15" t="s">
        <v>899</v>
      </c>
    </row>
    <row r="206" customFormat="false" ht="23.85" hidden="false" customHeight="false" outlineLevel="0" collapsed="false">
      <c r="A206" s="15" t="s">
        <v>78</v>
      </c>
      <c r="B206" s="15" t="s">
        <v>467</v>
      </c>
      <c r="C206" s="15" t="str">
        <f aca="false">IFERROR(INDEX('Method &amp; Notes'!$B$24:$B$34,MATCH(B206,'Method &amp; Notes'!$A$24:$A$34,0)),"")</f>
        <v>Time, cost and scope guides</v>
      </c>
      <c r="D206" s="15" t="s">
        <v>900</v>
      </c>
      <c r="E206" s="16" t="s">
        <v>901</v>
      </c>
      <c r="F206" s="15" t="s">
        <v>902</v>
      </c>
    </row>
    <row r="207" customFormat="false" ht="23.85" hidden="false" customHeight="false" outlineLevel="0" collapsed="false">
      <c r="A207" s="15" t="s">
        <v>78</v>
      </c>
      <c r="B207" s="15" t="s">
        <v>467</v>
      </c>
      <c r="C207" s="15" t="str">
        <f aca="false">IFERROR(INDEX('Method &amp; Notes'!$B$24:$B$34,MATCH(B207,'Method &amp; Notes'!$A$24:$A$34,0)),"")</f>
        <v>Time, cost and scope guides</v>
      </c>
      <c r="D207" s="15" t="s">
        <v>435</v>
      </c>
      <c r="E207" s="16" t="s">
        <v>903</v>
      </c>
      <c r="F207" s="15" t="s">
        <v>904</v>
      </c>
    </row>
    <row r="208" customFormat="false" ht="23.85" hidden="false" customHeight="false" outlineLevel="0" collapsed="false">
      <c r="A208" s="15" t="s">
        <v>78</v>
      </c>
      <c r="B208" s="15" t="s">
        <v>477</v>
      </c>
      <c r="C208" s="15" t="str">
        <f aca="false">IFERROR(INDEX('Method &amp; Notes'!$B$24:$B$34,MATCH(B208,'Method &amp; Notes'!$A$24:$A$34,0)),"")</f>
        <v>Regional, seasonal and emerging demand</v>
      </c>
      <c r="D208" s="15" t="s">
        <v>713</v>
      </c>
      <c r="E208" s="16" t="s">
        <v>714</v>
      </c>
      <c r="F208" s="15" t="s">
        <v>715</v>
      </c>
    </row>
    <row r="209" customFormat="false" ht="15" hidden="false" customHeight="false" outlineLevel="0" collapsed="false">
      <c r="A209" s="15" t="s">
        <v>82</v>
      </c>
      <c r="B209" s="15" t="s">
        <v>431</v>
      </c>
      <c r="C209" s="15" t="str">
        <f aca="false">IFERROR(INDEX('Method &amp; Notes'!$B$24:$B$34,MATCH(B209,'Method &amp; Notes'!$A$24:$A$34,0)),"")</f>
        <v>Marketplaces and booking platforms</v>
      </c>
      <c r="D209" s="15" t="s">
        <v>468</v>
      </c>
      <c r="E209" s="16" t="s">
        <v>905</v>
      </c>
      <c r="F209" s="15" t="s">
        <v>906</v>
      </c>
    </row>
    <row r="210" customFormat="false" ht="15" hidden="false" customHeight="false" outlineLevel="0" collapsed="false">
      <c r="A210" s="15" t="s">
        <v>82</v>
      </c>
      <c r="B210" s="15" t="s">
        <v>431</v>
      </c>
      <c r="C210" s="15" t="str">
        <f aca="false">IFERROR(INDEX('Method &amp; Notes'!$B$24:$B$34,MATCH(B210,'Method &amp; Notes'!$A$24:$A$34,0)),"")</f>
        <v>Marketplaces and booking platforms</v>
      </c>
      <c r="D210" s="15" t="s">
        <v>432</v>
      </c>
      <c r="E210" s="16" t="s">
        <v>907</v>
      </c>
      <c r="F210" s="15" t="s">
        <v>908</v>
      </c>
    </row>
    <row r="211" customFormat="false" ht="15" hidden="false" customHeight="false" outlineLevel="0" collapsed="false">
      <c r="A211" s="15" t="s">
        <v>82</v>
      </c>
      <c r="B211" s="15" t="s">
        <v>431</v>
      </c>
      <c r="C211" s="15" t="str">
        <f aca="false">IFERROR(INDEX('Method &amp; Notes'!$B$24:$B$34,MATCH(B211,'Method &amp; Notes'!$A$24:$A$34,0)),"")</f>
        <v>Marketplaces and booking platforms</v>
      </c>
      <c r="D211" s="15" t="s">
        <v>468</v>
      </c>
      <c r="E211" s="16" t="s">
        <v>909</v>
      </c>
      <c r="F211" s="15" t="s">
        <v>910</v>
      </c>
    </row>
    <row r="212" customFormat="false" ht="15" hidden="false" customHeight="false" outlineLevel="0" collapsed="false">
      <c r="A212" s="15" t="s">
        <v>82</v>
      </c>
      <c r="B212" s="15" t="s">
        <v>441</v>
      </c>
      <c r="C212" s="15" t="str">
        <f aca="false">IFERROR(INDEX('Method &amp; Notes'!$B$24:$B$34,MATCH(B212,'Method &amp; Notes'!$A$24:$A$34,0)),"")</f>
        <v>Handyman business guides</v>
      </c>
      <c r="D212" s="15" t="s">
        <v>438</v>
      </c>
      <c r="E212" s="16" t="s">
        <v>439</v>
      </c>
      <c r="F212" s="15" t="s">
        <v>911</v>
      </c>
    </row>
    <row r="213" customFormat="false" ht="15" hidden="false" customHeight="false" outlineLevel="0" collapsed="false">
      <c r="A213" s="15" t="s">
        <v>82</v>
      </c>
      <c r="B213" s="15" t="s">
        <v>441</v>
      </c>
      <c r="C213" s="15" t="str">
        <f aca="false">IFERROR(INDEX('Method &amp; Notes'!$B$24:$B$34,MATCH(B213,'Method &amp; Notes'!$A$24:$A$34,0)),"")</f>
        <v>Handyman business guides</v>
      </c>
      <c r="D213" s="15" t="s">
        <v>843</v>
      </c>
      <c r="E213" s="16" t="s">
        <v>844</v>
      </c>
      <c r="F213" s="15" t="s">
        <v>912</v>
      </c>
    </row>
    <row r="214" customFormat="false" ht="15" hidden="false" customHeight="false" outlineLevel="0" collapsed="false">
      <c r="A214" s="15" t="s">
        <v>82</v>
      </c>
      <c r="B214" s="15" t="s">
        <v>441</v>
      </c>
      <c r="C214" s="15" t="str">
        <f aca="false">IFERROR(INDEX('Method &amp; Notes'!$B$24:$B$34,MATCH(B214,'Method &amp; Notes'!$A$24:$A$34,0)),"")</f>
        <v>Handyman business guides</v>
      </c>
      <c r="D214" s="15" t="s">
        <v>619</v>
      </c>
      <c r="E214" s="16" t="s">
        <v>620</v>
      </c>
      <c r="F214" s="15" t="s">
        <v>913</v>
      </c>
    </row>
    <row r="215" customFormat="false" ht="23.85" hidden="false" customHeight="false" outlineLevel="0" collapsed="false">
      <c r="A215" s="15" t="s">
        <v>82</v>
      </c>
      <c r="B215" s="15" t="s">
        <v>459</v>
      </c>
      <c r="C215" s="15" t="str">
        <f aca="false">IFERROR(INDEX('Method &amp; Notes'!$B$24:$B$34,MATCH(B215,'Method &amp; Notes'!$A$24:$A$34,0)),"")</f>
        <v>Rental and property maintenance requests</v>
      </c>
      <c r="D215" s="15" t="s">
        <v>914</v>
      </c>
      <c r="E215" s="16" t="s">
        <v>915</v>
      </c>
      <c r="F215" s="15" t="s">
        <v>916</v>
      </c>
    </row>
    <row r="216" customFormat="false" ht="23.85" hidden="false" customHeight="false" outlineLevel="0" collapsed="false">
      <c r="A216" s="15" t="s">
        <v>82</v>
      </c>
      <c r="B216" s="15" t="s">
        <v>463</v>
      </c>
      <c r="C216" s="15" t="str">
        <f aca="false">IFERROR(INDEX('Method &amp; Notes'!$B$24:$B$34,MATCH(B216,'Method &amp; Notes'!$A$24:$A$34,0)),"")</f>
        <v>Memberships, concierge and retailer services</v>
      </c>
      <c r="D216" s="15" t="s">
        <v>917</v>
      </c>
      <c r="E216" s="16" t="s">
        <v>918</v>
      </c>
      <c r="F216" s="15" t="s">
        <v>919</v>
      </c>
    </row>
    <row r="217" customFormat="false" ht="23.85" hidden="false" customHeight="false" outlineLevel="0" collapsed="false">
      <c r="A217" s="15" t="s">
        <v>82</v>
      </c>
      <c r="B217" s="15" t="s">
        <v>463</v>
      </c>
      <c r="C217" s="15" t="str">
        <f aca="false">IFERROR(INDEX('Method &amp; Notes'!$B$24:$B$34,MATCH(B217,'Method &amp; Notes'!$A$24:$A$34,0)),"")</f>
        <v>Memberships, concierge and retailer services</v>
      </c>
      <c r="D217" s="15" t="s">
        <v>851</v>
      </c>
      <c r="E217" s="16" t="s">
        <v>852</v>
      </c>
      <c r="F217" s="15" t="s">
        <v>920</v>
      </c>
    </row>
    <row r="218" customFormat="false" ht="23.85" hidden="false" customHeight="false" outlineLevel="0" collapsed="false">
      <c r="A218" s="15" t="s">
        <v>82</v>
      </c>
      <c r="B218" s="15" t="s">
        <v>857</v>
      </c>
      <c r="C218" s="15" t="str">
        <f aca="false">IFERROR(INDEX('Method &amp; Notes'!$B$24:$B$34,MATCH(B218,'Method &amp; Notes'!$A$24:$A$34,0)),"")</f>
        <v>Extra web searches after the review pass</v>
      </c>
      <c r="D218" s="15" t="s">
        <v>858</v>
      </c>
      <c r="E218" s="16" t="s">
        <v>859</v>
      </c>
      <c r="F218" s="15" t="s">
        <v>860</v>
      </c>
    </row>
    <row r="219" customFormat="false" ht="23.85" hidden="false" customHeight="false" outlineLevel="0" collapsed="false">
      <c r="A219" s="15" t="s">
        <v>82</v>
      </c>
      <c r="B219" s="15" t="s">
        <v>857</v>
      </c>
      <c r="C219" s="15" t="str">
        <f aca="false">IFERROR(INDEX('Method &amp; Notes'!$B$24:$B$34,MATCH(B219,'Method &amp; Notes'!$A$24:$A$34,0)),"")</f>
        <v>Extra web searches after the review pass</v>
      </c>
      <c r="D219" s="15" t="s">
        <v>861</v>
      </c>
      <c r="E219" s="16" t="s">
        <v>862</v>
      </c>
      <c r="F219" s="15" t="s">
        <v>863</v>
      </c>
    </row>
    <row r="220" customFormat="false" ht="23.85" hidden="false" customHeight="false" outlineLevel="0" collapsed="false">
      <c r="A220" s="15" t="s">
        <v>82</v>
      </c>
      <c r="B220" s="15" t="s">
        <v>467</v>
      </c>
      <c r="C220" s="15" t="str">
        <f aca="false">IFERROR(INDEX('Method &amp; Notes'!$B$24:$B$34,MATCH(B220,'Method &amp; Notes'!$A$24:$A$34,0)),"")</f>
        <v>Time, cost and scope guides</v>
      </c>
      <c r="D220" s="15" t="s">
        <v>468</v>
      </c>
      <c r="E220" s="16" t="s">
        <v>921</v>
      </c>
      <c r="F220" s="15" t="s">
        <v>922</v>
      </c>
    </row>
    <row r="221" customFormat="false" ht="23.85" hidden="false" customHeight="false" outlineLevel="0" collapsed="false">
      <c r="A221" s="15" t="s">
        <v>82</v>
      </c>
      <c r="B221" s="15" t="s">
        <v>467</v>
      </c>
      <c r="C221" s="15" t="str">
        <f aca="false">IFERROR(INDEX('Method &amp; Notes'!$B$24:$B$34,MATCH(B221,'Method &amp; Notes'!$A$24:$A$34,0)),"")</f>
        <v>Time, cost and scope guides</v>
      </c>
      <c r="D221" s="15" t="s">
        <v>619</v>
      </c>
      <c r="E221" s="16" t="s">
        <v>923</v>
      </c>
      <c r="F221" s="15" t="s">
        <v>924</v>
      </c>
    </row>
    <row r="222" customFormat="false" ht="15" hidden="false" customHeight="false" outlineLevel="0" collapsed="false">
      <c r="A222" s="15" t="s">
        <v>82</v>
      </c>
      <c r="B222" s="15" t="s">
        <v>467</v>
      </c>
      <c r="C222" s="15" t="str">
        <f aca="false">IFERROR(INDEX('Method &amp; Notes'!$B$24:$B$34,MATCH(B222,'Method &amp; Notes'!$A$24:$A$34,0)),"")</f>
        <v>Time, cost and scope guides</v>
      </c>
      <c r="D222" s="15" t="s">
        <v>925</v>
      </c>
      <c r="E222" s="16" t="s">
        <v>926</v>
      </c>
      <c r="F222" s="15" t="s">
        <v>927</v>
      </c>
    </row>
    <row r="223" customFormat="false" ht="15" hidden="false" customHeight="false" outlineLevel="0" collapsed="false">
      <c r="A223" s="15" t="s">
        <v>82</v>
      </c>
      <c r="B223" s="15" t="s">
        <v>467</v>
      </c>
      <c r="C223" s="15" t="str">
        <f aca="false">IFERROR(INDEX('Method &amp; Notes'!$B$24:$B$34,MATCH(B223,'Method &amp; Notes'!$A$24:$A$34,0)),"")</f>
        <v>Time, cost and scope guides</v>
      </c>
      <c r="D223" s="15" t="s">
        <v>928</v>
      </c>
      <c r="E223" s="16" t="s">
        <v>929</v>
      </c>
      <c r="F223" s="15" t="s">
        <v>930</v>
      </c>
    </row>
    <row r="224" customFormat="false" ht="23.85" hidden="false" customHeight="false" outlineLevel="0" collapsed="false">
      <c r="A224" s="15" t="s">
        <v>82</v>
      </c>
      <c r="B224" s="15" t="s">
        <v>477</v>
      </c>
      <c r="C224" s="15" t="str">
        <f aca="false">IFERROR(INDEX('Method &amp; Notes'!$B$24:$B$34,MATCH(B224,'Method &amp; Notes'!$A$24:$A$34,0)),"")</f>
        <v>Regional, seasonal and emerging demand</v>
      </c>
      <c r="D224" s="15" t="s">
        <v>483</v>
      </c>
      <c r="E224" s="16" t="s">
        <v>484</v>
      </c>
      <c r="F224" s="15" t="s">
        <v>931</v>
      </c>
    </row>
    <row r="225" customFormat="false" ht="23.85" hidden="false" customHeight="false" outlineLevel="0" collapsed="false">
      <c r="A225" s="15" t="s">
        <v>82</v>
      </c>
      <c r="B225" s="15" t="s">
        <v>477</v>
      </c>
      <c r="C225" s="15" t="str">
        <f aca="false">IFERROR(INDEX('Method &amp; Notes'!$B$24:$B$34,MATCH(B225,'Method &amp; Notes'!$A$24:$A$34,0)),"")</f>
        <v>Regional, seasonal and emerging demand</v>
      </c>
      <c r="D225" s="15" t="s">
        <v>480</v>
      </c>
      <c r="E225" s="16" t="s">
        <v>481</v>
      </c>
      <c r="F225" s="15" t="s">
        <v>932</v>
      </c>
    </row>
    <row r="226" customFormat="false" ht="23.85" hidden="false" customHeight="false" outlineLevel="0" collapsed="false">
      <c r="A226" s="15" t="s">
        <v>82</v>
      </c>
      <c r="B226" s="15" t="s">
        <v>477</v>
      </c>
      <c r="C226" s="15" t="str">
        <f aca="false">IFERROR(INDEX('Method &amp; Notes'!$B$24:$B$34,MATCH(B226,'Method &amp; Notes'!$A$24:$A$34,0)),"")</f>
        <v>Regional, seasonal and emerging demand</v>
      </c>
      <c r="D226" s="15" t="s">
        <v>933</v>
      </c>
      <c r="E226" s="16" t="s">
        <v>934</v>
      </c>
      <c r="F226" s="15" t="s">
        <v>935</v>
      </c>
    </row>
    <row r="227" customFormat="false" ht="23.85" hidden="false" customHeight="false" outlineLevel="0" collapsed="false">
      <c r="A227" s="15" t="s">
        <v>82</v>
      </c>
      <c r="B227" s="15" t="s">
        <v>486</v>
      </c>
      <c r="C227" s="15" t="str">
        <f aca="false">IFERROR(INDEX('Method &amp; Notes'!$B$24:$B$34,MATCH(B227,'Method &amp; Notes'!$A$24:$A$34,0)),"")</f>
        <v>Search demand</v>
      </c>
      <c r="D227" s="15" t="s">
        <v>936</v>
      </c>
      <c r="E227" s="16" t="s">
        <v>937</v>
      </c>
      <c r="F227" s="15" t="s">
        <v>938</v>
      </c>
    </row>
    <row r="228" customFormat="false" ht="15" hidden="false" customHeight="false" outlineLevel="0" collapsed="false">
      <c r="A228" s="15" t="s">
        <v>86</v>
      </c>
      <c r="B228" s="15" t="s">
        <v>431</v>
      </c>
      <c r="C228" s="15" t="str">
        <f aca="false">IFERROR(INDEX('Method &amp; Notes'!$B$24:$B$34,MATCH(B228,'Method &amp; Notes'!$A$24:$A$34,0)),"")</f>
        <v>Marketplaces and booking platforms</v>
      </c>
      <c r="D228" s="15" t="s">
        <v>435</v>
      </c>
      <c r="E228" s="16" t="s">
        <v>436</v>
      </c>
      <c r="F228" s="15" t="s">
        <v>939</v>
      </c>
    </row>
    <row r="229" customFormat="false" ht="15" hidden="false" customHeight="false" outlineLevel="0" collapsed="false">
      <c r="A229" s="15" t="s">
        <v>86</v>
      </c>
      <c r="B229" s="15" t="s">
        <v>431</v>
      </c>
      <c r="C229" s="15" t="str">
        <f aca="false">IFERROR(INDEX('Method &amp; Notes'!$B$24:$B$34,MATCH(B229,'Method &amp; Notes'!$A$24:$A$34,0)),"")</f>
        <v>Marketplaces and booking platforms</v>
      </c>
      <c r="D229" s="15" t="s">
        <v>468</v>
      </c>
      <c r="E229" s="16" t="s">
        <v>859</v>
      </c>
      <c r="F229" s="15" t="s">
        <v>940</v>
      </c>
    </row>
    <row r="230" customFormat="false" ht="15" hidden="false" customHeight="false" outlineLevel="0" collapsed="false">
      <c r="A230" s="15" t="s">
        <v>86</v>
      </c>
      <c r="B230" s="15" t="s">
        <v>431</v>
      </c>
      <c r="C230" s="15" t="str">
        <f aca="false">IFERROR(INDEX('Method &amp; Notes'!$B$24:$B$34,MATCH(B230,'Method &amp; Notes'!$A$24:$A$34,0)),"")</f>
        <v>Marketplaces and booking platforms</v>
      </c>
      <c r="D230" s="15" t="s">
        <v>941</v>
      </c>
      <c r="E230" s="16" t="s">
        <v>942</v>
      </c>
      <c r="F230" s="15" t="s">
        <v>943</v>
      </c>
    </row>
    <row r="231" customFormat="false" ht="15" hidden="false" customHeight="false" outlineLevel="0" collapsed="false">
      <c r="A231" s="15" t="s">
        <v>86</v>
      </c>
      <c r="B231" s="15" t="s">
        <v>441</v>
      </c>
      <c r="C231" s="15" t="str">
        <f aca="false">IFERROR(INDEX('Method &amp; Notes'!$B$24:$B$34,MATCH(B231,'Method &amp; Notes'!$A$24:$A$34,0)),"")</f>
        <v>Handyman business guides</v>
      </c>
      <c r="D231" s="15" t="s">
        <v>445</v>
      </c>
      <c r="E231" s="16" t="s">
        <v>446</v>
      </c>
      <c r="F231" s="15" t="s">
        <v>944</v>
      </c>
    </row>
    <row r="232" customFormat="false" ht="15" hidden="false" customHeight="false" outlineLevel="0" collapsed="false">
      <c r="A232" s="15" t="s">
        <v>86</v>
      </c>
      <c r="B232" s="15" t="s">
        <v>441</v>
      </c>
      <c r="C232" s="15" t="str">
        <f aca="false">IFERROR(INDEX('Method &amp; Notes'!$B$24:$B$34,MATCH(B232,'Method &amp; Notes'!$A$24:$A$34,0)),"")</f>
        <v>Handyman business guides</v>
      </c>
      <c r="D232" s="15" t="s">
        <v>758</v>
      </c>
      <c r="E232" s="16" t="s">
        <v>759</v>
      </c>
      <c r="F232" s="15" t="s">
        <v>945</v>
      </c>
    </row>
    <row r="233" customFormat="false" ht="35.05" hidden="false" customHeight="false" outlineLevel="0" collapsed="false">
      <c r="A233" s="15" t="s">
        <v>86</v>
      </c>
      <c r="B233" s="15" t="s">
        <v>452</v>
      </c>
      <c r="C233" s="15" t="str">
        <f aca="false">IFERROR(INDEX('Method &amp; Notes'!$B$24:$B$34,MATCH(B233,'Method &amp; Notes'!$A$24:$A$34,0)),"")</f>
        <v>DIY and how-to interest</v>
      </c>
      <c r="D233" s="15" t="s">
        <v>505</v>
      </c>
      <c r="E233" s="16" t="s">
        <v>506</v>
      </c>
      <c r="F233" s="15" t="s">
        <v>946</v>
      </c>
    </row>
    <row r="234" customFormat="false" ht="23.85" hidden="false" customHeight="false" outlineLevel="0" collapsed="false">
      <c r="A234" s="15" t="s">
        <v>86</v>
      </c>
      <c r="B234" s="15" t="s">
        <v>463</v>
      </c>
      <c r="C234" s="15" t="str">
        <f aca="false">IFERROR(INDEX('Method &amp; Notes'!$B$24:$B$34,MATCH(B234,'Method &amp; Notes'!$A$24:$A$34,0)),"")</f>
        <v>Memberships, concierge and retailer services</v>
      </c>
      <c r="D234" s="15" t="s">
        <v>947</v>
      </c>
      <c r="E234" s="16" t="s">
        <v>948</v>
      </c>
      <c r="F234" s="15" t="s">
        <v>949</v>
      </c>
    </row>
    <row r="235" customFormat="false" ht="23.85" hidden="false" customHeight="false" outlineLevel="0" collapsed="false">
      <c r="A235" s="15" t="s">
        <v>86</v>
      </c>
      <c r="B235" s="15" t="s">
        <v>463</v>
      </c>
      <c r="C235" s="15" t="str">
        <f aca="false">IFERROR(INDEX('Method &amp; Notes'!$B$24:$B$34,MATCH(B235,'Method &amp; Notes'!$A$24:$A$34,0)),"")</f>
        <v>Memberships, concierge and retailer services</v>
      </c>
      <c r="D235" s="15" t="s">
        <v>950</v>
      </c>
      <c r="E235" s="16" t="s">
        <v>951</v>
      </c>
      <c r="F235" s="15" t="s">
        <v>952</v>
      </c>
    </row>
    <row r="236" customFormat="false" ht="23.85" hidden="false" customHeight="false" outlineLevel="0" collapsed="false">
      <c r="A236" s="15" t="s">
        <v>86</v>
      </c>
      <c r="B236" s="15" t="s">
        <v>857</v>
      </c>
      <c r="C236" s="15" t="str">
        <f aca="false">IFERROR(INDEX('Method &amp; Notes'!$B$24:$B$34,MATCH(B236,'Method &amp; Notes'!$A$24:$A$34,0)),"")</f>
        <v>Extra web searches after the review pass</v>
      </c>
      <c r="D236" s="15" t="s">
        <v>858</v>
      </c>
      <c r="E236" s="16" t="s">
        <v>859</v>
      </c>
      <c r="F236" s="15" t="s">
        <v>860</v>
      </c>
    </row>
    <row r="237" customFormat="false" ht="23.85" hidden="false" customHeight="false" outlineLevel="0" collapsed="false">
      <c r="A237" s="15" t="s">
        <v>86</v>
      </c>
      <c r="B237" s="15" t="s">
        <v>467</v>
      </c>
      <c r="C237" s="15" t="str">
        <f aca="false">IFERROR(INDEX('Method &amp; Notes'!$B$24:$B$34,MATCH(B237,'Method &amp; Notes'!$A$24:$A$34,0)),"")</f>
        <v>Time, cost and scope guides</v>
      </c>
      <c r="D237" s="15" t="s">
        <v>866</v>
      </c>
      <c r="E237" s="16" t="s">
        <v>953</v>
      </c>
      <c r="F237" s="15" t="s">
        <v>954</v>
      </c>
    </row>
    <row r="238" customFormat="false" ht="15" hidden="false" customHeight="false" outlineLevel="0" collapsed="false">
      <c r="A238" s="15" t="s">
        <v>86</v>
      </c>
      <c r="B238" s="15" t="s">
        <v>467</v>
      </c>
      <c r="C238" s="15" t="str">
        <f aca="false">IFERROR(INDEX('Method &amp; Notes'!$B$24:$B$34,MATCH(B238,'Method &amp; Notes'!$A$24:$A$34,0)),"")</f>
        <v>Time, cost and scope guides</v>
      </c>
      <c r="D238" s="15" t="s">
        <v>955</v>
      </c>
      <c r="E238" s="16" t="s">
        <v>956</v>
      </c>
      <c r="F238" s="15" t="s">
        <v>957</v>
      </c>
    </row>
    <row r="239" customFormat="false" ht="23.85" hidden="false" customHeight="false" outlineLevel="0" collapsed="false">
      <c r="A239" s="15" t="s">
        <v>86</v>
      </c>
      <c r="B239" s="15" t="s">
        <v>477</v>
      </c>
      <c r="C239" s="15" t="str">
        <f aca="false">IFERROR(INDEX('Method &amp; Notes'!$B$24:$B$34,MATCH(B239,'Method &amp; Notes'!$A$24:$A$34,0)),"")</f>
        <v>Regional, seasonal and emerging demand</v>
      </c>
      <c r="D239" s="15" t="s">
        <v>483</v>
      </c>
      <c r="E239" s="16" t="s">
        <v>484</v>
      </c>
      <c r="F239" s="15" t="s">
        <v>958</v>
      </c>
    </row>
    <row r="240" customFormat="false" ht="23.85" hidden="false" customHeight="false" outlineLevel="0" collapsed="false">
      <c r="A240" s="15" t="s">
        <v>86</v>
      </c>
      <c r="B240" s="15" t="s">
        <v>477</v>
      </c>
      <c r="C240" s="15" t="str">
        <f aca="false">IFERROR(INDEX('Method &amp; Notes'!$B$24:$B$34,MATCH(B240,'Method &amp; Notes'!$A$24:$A$34,0)),"")</f>
        <v>Regional, seasonal and emerging demand</v>
      </c>
      <c r="D240" s="15" t="s">
        <v>959</v>
      </c>
      <c r="E240" s="16" t="s">
        <v>960</v>
      </c>
      <c r="F240" s="15" t="s">
        <v>961</v>
      </c>
    </row>
    <row r="241" customFormat="false" ht="23.85" hidden="false" customHeight="false" outlineLevel="0" collapsed="false">
      <c r="A241" s="15" t="s">
        <v>86</v>
      </c>
      <c r="B241" s="15" t="s">
        <v>486</v>
      </c>
      <c r="C241" s="15" t="str">
        <f aca="false">IFERROR(INDEX('Method &amp; Notes'!$B$24:$B$34,MATCH(B241,'Method &amp; Notes'!$A$24:$A$34,0)),"")</f>
        <v>Search demand</v>
      </c>
      <c r="D241" s="15" t="s">
        <v>487</v>
      </c>
      <c r="E241" s="16" t="s">
        <v>488</v>
      </c>
      <c r="F241" s="15" t="s">
        <v>882</v>
      </c>
    </row>
    <row r="242" customFormat="false" ht="23.85" hidden="false" customHeight="false" outlineLevel="0" collapsed="false">
      <c r="A242" s="15" t="s">
        <v>89</v>
      </c>
      <c r="B242" s="15" t="s">
        <v>431</v>
      </c>
      <c r="C242" s="15" t="str">
        <f aca="false">IFERROR(INDEX('Method &amp; Notes'!$B$24:$B$34,MATCH(B242,'Method &amp; Notes'!$A$24:$A$34,0)),"")</f>
        <v>Marketplaces and booking platforms</v>
      </c>
      <c r="D242" s="15" t="s">
        <v>435</v>
      </c>
      <c r="E242" s="16" t="s">
        <v>962</v>
      </c>
      <c r="F242" s="15" t="s">
        <v>963</v>
      </c>
    </row>
    <row r="243" customFormat="false" ht="23.85" hidden="false" customHeight="false" outlineLevel="0" collapsed="false">
      <c r="A243" s="15" t="s">
        <v>89</v>
      </c>
      <c r="B243" s="15" t="s">
        <v>448</v>
      </c>
      <c r="C243" s="15" t="str">
        <f aca="false">IFERROR(INDEX('Method &amp; Notes'!$B$24:$B$34,MATCH(B243,'Method &amp; Notes'!$A$24:$A$34,0)),"")</f>
        <v>Warranty claims and inspections</v>
      </c>
      <c r="D243" s="15" t="s">
        <v>964</v>
      </c>
      <c r="E243" s="16" t="s">
        <v>965</v>
      </c>
      <c r="F243" s="15" t="s">
        <v>966</v>
      </c>
    </row>
    <row r="244" customFormat="false" ht="23.85" hidden="false" customHeight="false" outlineLevel="0" collapsed="false">
      <c r="A244" s="15" t="s">
        <v>89</v>
      </c>
      <c r="B244" s="15" t="s">
        <v>452</v>
      </c>
      <c r="C244" s="15" t="str">
        <f aca="false">IFERROR(INDEX('Method &amp; Notes'!$B$24:$B$34,MATCH(B244,'Method &amp; Notes'!$A$24:$A$34,0)),"")</f>
        <v>DIY and how-to interest</v>
      </c>
      <c r="D244" s="15" t="s">
        <v>967</v>
      </c>
      <c r="E244" s="16" t="s">
        <v>968</v>
      </c>
      <c r="F244" s="15" t="s">
        <v>969</v>
      </c>
    </row>
    <row r="245" customFormat="false" ht="35.05" hidden="false" customHeight="false" outlineLevel="0" collapsed="false">
      <c r="A245" s="15" t="s">
        <v>89</v>
      </c>
      <c r="B245" s="15" t="s">
        <v>452</v>
      </c>
      <c r="C245" s="15" t="str">
        <f aca="false">IFERROR(INDEX('Method &amp; Notes'!$B$24:$B$34,MATCH(B245,'Method &amp; Notes'!$A$24:$A$34,0)),"")</f>
        <v>DIY and how-to interest</v>
      </c>
      <c r="D245" s="15" t="s">
        <v>731</v>
      </c>
      <c r="E245" s="16" t="s">
        <v>732</v>
      </c>
      <c r="F245" s="15" t="s">
        <v>970</v>
      </c>
    </row>
    <row r="246" customFormat="false" ht="23.85" hidden="false" customHeight="false" outlineLevel="0" collapsed="false">
      <c r="A246" s="15" t="s">
        <v>89</v>
      </c>
      <c r="B246" s="15" t="s">
        <v>452</v>
      </c>
      <c r="C246" s="15" t="str">
        <f aca="false">IFERROR(INDEX('Method &amp; Notes'!$B$24:$B$34,MATCH(B246,'Method &amp; Notes'!$A$24:$A$34,0)),"")</f>
        <v>DIY and how-to interest</v>
      </c>
      <c r="D246" s="15" t="s">
        <v>971</v>
      </c>
      <c r="E246" s="16" t="s">
        <v>972</v>
      </c>
      <c r="F246" s="15" t="s">
        <v>973</v>
      </c>
    </row>
    <row r="247" customFormat="false" ht="23.85" hidden="false" customHeight="false" outlineLevel="0" collapsed="false">
      <c r="A247" s="15" t="s">
        <v>89</v>
      </c>
      <c r="B247" s="15" t="s">
        <v>459</v>
      </c>
      <c r="C247" s="15" t="str">
        <f aca="false">IFERROR(INDEX('Method &amp; Notes'!$B$24:$B$34,MATCH(B247,'Method &amp; Notes'!$A$24:$A$34,0)),"")</f>
        <v>Rental and property maintenance requests</v>
      </c>
      <c r="D247" s="15" t="s">
        <v>737</v>
      </c>
      <c r="E247" s="16" t="s">
        <v>738</v>
      </c>
      <c r="F247" s="15" t="s">
        <v>974</v>
      </c>
    </row>
    <row r="248" customFormat="false" ht="23.85" hidden="false" customHeight="false" outlineLevel="0" collapsed="false">
      <c r="A248" s="15" t="s">
        <v>89</v>
      </c>
      <c r="B248" s="15" t="s">
        <v>463</v>
      </c>
      <c r="C248" s="15" t="str">
        <f aca="false">IFERROR(INDEX('Method &amp; Notes'!$B$24:$B$34,MATCH(B248,'Method &amp; Notes'!$A$24:$A$34,0)),"")</f>
        <v>Memberships, concierge and retailer services</v>
      </c>
      <c r="D248" s="15" t="s">
        <v>975</v>
      </c>
      <c r="E248" s="16" t="s">
        <v>976</v>
      </c>
      <c r="F248" s="15" t="s">
        <v>977</v>
      </c>
    </row>
    <row r="249" customFormat="false" ht="23.85" hidden="false" customHeight="false" outlineLevel="0" collapsed="false">
      <c r="A249" s="15" t="s">
        <v>89</v>
      </c>
      <c r="B249" s="15" t="s">
        <v>463</v>
      </c>
      <c r="C249" s="15" t="str">
        <f aca="false">IFERROR(INDEX('Method &amp; Notes'!$B$24:$B$34,MATCH(B249,'Method &amp; Notes'!$A$24:$A$34,0)),"")</f>
        <v>Memberships, concierge and retailer services</v>
      </c>
      <c r="D249" s="15" t="s">
        <v>978</v>
      </c>
      <c r="E249" s="16" t="s">
        <v>979</v>
      </c>
      <c r="F249" s="15" t="s">
        <v>980</v>
      </c>
    </row>
    <row r="250" customFormat="false" ht="23.85" hidden="false" customHeight="false" outlineLevel="0" collapsed="false">
      <c r="A250" s="15" t="s">
        <v>89</v>
      </c>
      <c r="B250" s="15" t="s">
        <v>467</v>
      </c>
      <c r="C250" s="15" t="str">
        <f aca="false">IFERROR(INDEX('Method &amp; Notes'!$B$24:$B$34,MATCH(B250,'Method &amp; Notes'!$A$24:$A$34,0)),"")</f>
        <v>Time, cost and scope guides</v>
      </c>
      <c r="D250" s="15" t="s">
        <v>496</v>
      </c>
      <c r="E250" s="16" t="s">
        <v>981</v>
      </c>
      <c r="F250" s="15" t="s">
        <v>982</v>
      </c>
    </row>
    <row r="251" customFormat="false" ht="23.85" hidden="false" customHeight="false" outlineLevel="0" collapsed="false">
      <c r="A251" s="15" t="s">
        <v>89</v>
      </c>
      <c r="B251" s="15" t="s">
        <v>477</v>
      </c>
      <c r="C251" s="15" t="str">
        <f aca="false">IFERROR(INDEX('Method &amp; Notes'!$B$24:$B$34,MATCH(B251,'Method &amp; Notes'!$A$24:$A$34,0)),"")</f>
        <v>Regional, seasonal and emerging demand</v>
      </c>
      <c r="D251" s="15" t="s">
        <v>983</v>
      </c>
      <c r="E251" s="16" t="s">
        <v>984</v>
      </c>
      <c r="F251" s="15" t="s">
        <v>985</v>
      </c>
    </row>
    <row r="252" customFormat="false" ht="23.85" hidden="false" customHeight="false" outlineLevel="0" collapsed="false">
      <c r="A252" s="15" t="s">
        <v>89</v>
      </c>
      <c r="B252" s="15" t="s">
        <v>477</v>
      </c>
      <c r="C252" s="15" t="str">
        <f aca="false">IFERROR(INDEX('Method &amp; Notes'!$B$24:$B$34,MATCH(B252,'Method &amp; Notes'!$A$24:$A$34,0)),"")</f>
        <v>Regional, seasonal and emerging demand</v>
      </c>
      <c r="D252" s="15" t="s">
        <v>986</v>
      </c>
      <c r="E252" s="16" t="s">
        <v>987</v>
      </c>
      <c r="F252" s="15" t="s">
        <v>988</v>
      </c>
    </row>
    <row r="253" customFormat="false" ht="15" hidden="false" customHeight="false" outlineLevel="0" collapsed="false">
      <c r="A253" s="15" t="s">
        <v>93</v>
      </c>
      <c r="B253" s="15" t="s">
        <v>431</v>
      </c>
      <c r="C253" s="15" t="str">
        <f aca="false">IFERROR(INDEX('Method &amp; Notes'!$B$24:$B$34,MATCH(B253,'Method &amp; Notes'!$A$24:$A$34,0)),"")</f>
        <v>Marketplaces and booking platforms</v>
      </c>
      <c r="D253" s="15" t="s">
        <v>435</v>
      </c>
      <c r="E253" s="16" t="s">
        <v>721</v>
      </c>
      <c r="F253" s="15" t="s">
        <v>989</v>
      </c>
    </row>
    <row r="254" customFormat="false" ht="15" hidden="false" customHeight="false" outlineLevel="0" collapsed="false">
      <c r="A254" s="15" t="s">
        <v>93</v>
      </c>
      <c r="B254" s="15" t="s">
        <v>441</v>
      </c>
      <c r="C254" s="15" t="str">
        <f aca="false">IFERROR(INDEX('Method &amp; Notes'!$B$24:$B$34,MATCH(B254,'Method &amp; Notes'!$A$24:$A$34,0)),"")</f>
        <v>Handyman business guides</v>
      </c>
      <c r="D254" s="15" t="s">
        <v>990</v>
      </c>
      <c r="E254" s="16" t="s">
        <v>991</v>
      </c>
      <c r="F254" s="15" t="s">
        <v>992</v>
      </c>
    </row>
    <row r="255" customFormat="false" ht="23.85" hidden="false" customHeight="false" outlineLevel="0" collapsed="false">
      <c r="A255" s="15" t="s">
        <v>93</v>
      </c>
      <c r="B255" s="15" t="s">
        <v>448</v>
      </c>
      <c r="C255" s="15" t="str">
        <f aca="false">IFERROR(INDEX('Method &amp; Notes'!$B$24:$B$34,MATCH(B255,'Method &amp; Notes'!$A$24:$A$34,0)),"")</f>
        <v>Warranty claims and inspections</v>
      </c>
      <c r="D255" s="15" t="s">
        <v>657</v>
      </c>
      <c r="E255" s="16" t="s">
        <v>993</v>
      </c>
      <c r="F255" s="15" t="s">
        <v>994</v>
      </c>
    </row>
    <row r="256" customFormat="false" ht="23.85" hidden="false" customHeight="false" outlineLevel="0" collapsed="false">
      <c r="A256" s="15" t="s">
        <v>93</v>
      </c>
      <c r="B256" s="15" t="s">
        <v>448</v>
      </c>
      <c r="C256" s="15" t="str">
        <f aca="false">IFERROR(INDEX('Method &amp; Notes'!$B$24:$B$34,MATCH(B256,'Method &amp; Notes'!$A$24:$A$34,0)),"")</f>
        <v>Warranty claims and inspections</v>
      </c>
      <c r="D256" s="15" t="s">
        <v>995</v>
      </c>
      <c r="E256" s="16" t="s">
        <v>996</v>
      </c>
      <c r="F256" s="15" t="s">
        <v>997</v>
      </c>
    </row>
    <row r="257" customFormat="false" ht="35.05" hidden="false" customHeight="false" outlineLevel="0" collapsed="false">
      <c r="A257" s="15" t="s">
        <v>93</v>
      </c>
      <c r="B257" s="15" t="s">
        <v>452</v>
      </c>
      <c r="C257" s="15" t="str">
        <f aca="false">IFERROR(INDEX('Method &amp; Notes'!$B$24:$B$34,MATCH(B257,'Method &amp; Notes'!$A$24:$A$34,0)),"")</f>
        <v>DIY and how-to interest</v>
      </c>
      <c r="D257" s="15" t="s">
        <v>998</v>
      </c>
      <c r="E257" s="16" t="s">
        <v>999</v>
      </c>
      <c r="F257" s="15" t="s">
        <v>1000</v>
      </c>
    </row>
    <row r="258" customFormat="false" ht="23.85" hidden="false" customHeight="false" outlineLevel="0" collapsed="false">
      <c r="A258" s="15" t="s">
        <v>93</v>
      </c>
      <c r="B258" s="15" t="s">
        <v>452</v>
      </c>
      <c r="C258" s="15" t="str">
        <f aca="false">IFERROR(INDEX('Method &amp; Notes'!$B$24:$B$34,MATCH(B258,'Method &amp; Notes'!$A$24:$A$34,0)),"")</f>
        <v>DIY and how-to interest</v>
      </c>
      <c r="D258" s="15" t="s">
        <v>1001</v>
      </c>
      <c r="E258" s="16" t="s">
        <v>1002</v>
      </c>
      <c r="F258" s="15" t="s">
        <v>1003</v>
      </c>
    </row>
    <row r="259" customFormat="false" ht="23.85" hidden="false" customHeight="false" outlineLevel="0" collapsed="false">
      <c r="A259" s="15" t="s">
        <v>93</v>
      </c>
      <c r="B259" s="15" t="s">
        <v>459</v>
      </c>
      <c r="C259" s="15" t="str">
        <f aca="false">IFERROR(INDEX('Method &amp; Notes'!$B$24:$B$34,MATCH(B259,'Method &amp; Notes'!$A$24:$A$34,0)),"")</f>
        <v>Rental and property maintenance requests</v>
      </c>
      <c r="D259" s="15" t="s">
        <v>592</v>
      </c>
      <c r="E259" s="16" t="s">
        <v>593</v>
      </c>
      <c r="F259" s="15" t="s">
        <v>1004</v>
      </c>
    </row>
    <row r="260" customFormat="false" ht="23.85" hidden="false" customHeight="false" outlineLevel="0" collapsed="false">
      <c r="A260" s="15" t="s">
        <v>93</v>
      </c>
      <c r="B260" s="15" t="s">
        <v>459</v>
      </c>
      <c r="C260" s="15" t="str">
        <f aca="false">IFERROR(INDEX('Method &amp; Notes'!$B$24:$B$34,MATCH(B260,'Method &amp; Notes'!$A$24:$A$34,0)),"")</f>
        <v>Rental and property maintenance requests</v>
      </c>
      <c r="D260" s="15" t="s">
        <v>1005</v>
      </c>
      <c r="E260" s="16" t="s">
        <v>1006</v>
      </c>
      <c r="F260" s="15" t="s">
        <v>1007</v>
      </c>
    </row>
    <row r="261" customFormat="false" ht="15" hidden="false" customHeight="false" outlineLevel="0" collapsed="false">
      <c r="A261" s="15" t="s">
        <v>93</v>
      </c>
      <c r="B261" s="15" t="s">
        <v>467</v>
      </c>
      <c r="C261" s="15" t="str">
        <f aca="false">IFERROR(INDEX('Method &amp; Notes'!$B$24:$B$34,MATCH(B261,'Method &amp; Notes'!$A$24:$A$34,0)),"")</f>
        <v>Time, cost and scope guides</v>
      </c>
      <c r="D261" s="15" t="s">
        <v>601</v>
      </c>
      <c r="E261" s="16" t="s">
        <v>602</v>
      </c>
      <c r="F261" s="15" t="s">
        <v>1008</v>
      </c>
    </row>
    <row r="262" customFormat="false" ht="15" hidden="false" customHeight="false" outlineLevel="0" collapsed="false">
      <c r="A262" s="15" t="s">
        <v>93</v>
      </c>
      <c r="B262" s="15" t="s">
        <v>467</v>
      </c>
      <c r="C262" s="15" t="str">
        <f aca="false">IFERROR(INDEX('Method &amp; Notes'!$B$24:$B$34,MATCH(B262,'Method &amp; Notes'!$A$24:$A$34,0)),"")</f>
        <v>Time, cost and scope guides</v>
      </c>
      <c r="D262" s="15" t="s">
        <v>610</v>
      </c>
      <c r="E262" s="16" t="s">
        <v>611</v>
      </c>
      <c r="F262" s="15" t="s">
        <v>1009</v>
      </c>
    </row>
    <row r="263" customFormat="false" ht="23.85" hidden="false" customHeight="false" outlineLevel="0" collapsed="false">
      <c r="A263" s="15" t="s">
        <v>93</v>
      </c>
      <c r="B263" s="15" t="s">
        <v>486</v>
      </c>
      <c r="C263" s="15" t="str">
        <f aca="false">IFERROR(INDEX('Method &amp; Notes'!$B$24:$B$34,MATCH(B263,'Method &amp; Notes'!$A$24:$A$34,0)),"")</f>
        <v>Search demand</v>
      </c>
      <c r="D263" s="15" t="s">
        <v>800</v>
      </c>
      <c r="E263" s="16" t="s">
        <v>801</v>
      </c>
      <c r="F263" s="15" t="s">
        <v>1010</v>
      </c>
    </row>
    <row r="264" customFormat="false" ht="15" hidden="false" customHeight="false" outlineLevel="0" collapsed="false">
      <c r="A264" s="15" t="s">
        <v>97</v>
      </c>
      <c r="B264" s="15" t="s">
        <v>431</v>
      </c>
      <c r="C264" s="15" t="str">
        <f aca="false">IFERROR(INDEX('Method &amp; Notes'!$B$24:$B$34,MATCH(B264,'Method &amp; Notes'!$A$24:$A$34,0)),"")</f>
        <v>Marketplaces and booking platforms</v>
      </c>
      <c r="D264" s="15" t="s">
        <v>435</v>
      </c>
      <c r="E264" s="16" t="s">
        <v>1011</v>
      </c>
      <c r="F264" s="15" t="s">
        <v>1012</v>
      </c>
    </row>
    <row r="265" customFormat="false" ht="15" hidden="false" customHeight="false" outlineLevel="0" collapsed="false">
      <c r="A265" s="15" t="s">
        <v>97</v>
      </c>
      <c r="B265" s="15" t="s">
        <v>431</v>
      </c>
      <c r="C265" s="15" t="str">
        <f aca="false">IFERROR(INDEX('Method &amp; Notes'!$B$24:$B$34,MATCH(B265,'Method &amp; Notes'!$A$24:$A$34,0)),"")</f>
        <v>Marketplaces and booking platforms</v>
      </c>
      <c r="D265" s="15" t="s">
        <v>1013</v>
      </c>
      <c r="E265" s="16" t="s">
        <v>1014</v>
      </c>
      <c r="F265" s="15" t="s">
        <v>1015</v>
      </c>
    </row>
    <row r="266" customFormat="false" ht="23.85" hidden="false" customHeight="false" outlineLevel="0" collapsed="false">
      <c r="A266" s="15" t="s">
        <v>97</v>
      </c>
      <c r="B266" s="15" t="s">
        <v>441</v>
      </c>
      <c r="C266" s="15" t="str">
        <f aca="false">IFERROR(INDEX('Method &amp; Notes'!$B$24:$B$34,MATCH(B266,'Method &amp; Notes'!$A$24:$A$34,0)),"")</f>
        <v>Handyman business guides</v>
      </c>
      <c r="D266" s="15" t="s">
        <v>445</v>
      </c>
      <c r="E266" s="16" t="s">
        <v>446</v>
      </c>
      <c r="F266" s="15" t="s">
        <v>806</v>
      </c>
    </row>
    <row r="267" customFormat="false" ht="15" hidden="false" customHeight="false" outlineLevel="0" collapsed="false">
      <c r="A267" s="15" t="s">
        <v>97</v>
      </c>
      <c r="B267" s="15" t="s">
        <v>441</v>
      </c>
      <c r="C267" s="15" t="str">
        <f aca="false">IFERROR(INDEX('Method &amp; Notes'!$B$24:$B$34,MATCH(B267,'Method &amp; Notes'!$A$24:$A$34,0)),"")</f>
        <v>Handyman business guides</v>
      </c>
      <c r="D267" s="15" t="s">
        <v>723</v>
      </c>
      <c r="E267" s="16" t="s">
        <v>724</v>
      </c>
      <c r="F267" s="15" t="s">
        <v>1016</v>
      </c>
    </row>
    <row r="268" customFormat="false" ht="15" hidden="false" customHeight="false" outlineLevel="0" collapsed="false">
      <c r="A268" s="15" t="s">
        <v>97</v>
      </c>
      <c r="B268" s="15" t="s">
        <v>448</v>
      </c>
      <c r="C268" s="15" t="str">
        <f aca="false">IFERROR(INDEX('Method &amp; Notes'!$B$24:$B$34,MATCH(B268,'Method &amp; Notes'!$A$24:$A$34,0)),"")</f>
        <v>Warranty claims and inspections</v>
      </c>
      <c r="D268" s="15" t="s">
        <v>545</v>
      </c>
      <c r="E268" s="16" t="s">
        <v>546</v>
      </c>
      <c r="F268" s="15" t="s">
        <v>807</v>
      </c>
    </row>
    <row r="269" customFormat="false" ht="23.85" hidden="false" customHeight="false" outlineLevel="0" collapsed="false">
      <c r="A269" s="15" t="s">
        <v>97</v>
      </c>
      <c r="B269" s="15" t="s">
        <v>452</v>
      </c>
      <c r="C269" s="15" t="str">
        <f aca="false">IFERROR(INDEX('Method &amp; Notes'!$B$24:$B$34,MATCH(B269,'Method &amp; Notes'!$A$24:$A$34,0)),"")</f>
        <v>DIY and how-to interest</v>
      </c>
      <c r="D269" s="15" t="s">
        <v>967</v>
      </c>
      <c r="E269" s="16" t="s">
        <v>968</v>
      </c>
      <c r="F269" s="15" t="s">
        <v>1017</v>
      </c>
    </row>
    <row r="270" customFormat="false" ht="23.85" hidden="false" customHeight="false" outlineLevel="0" collapsed="false">
      <c r="A270" s="15" t="s">
        <v>97</v>
      </c>
      <c r="B270" s="15" t="s">
        <v>452</v>
      </c>
      <c r="C270" s="15" t="str">
        <f aca="false">IFERROR(INDEX('Method &amp; Notes'!$B$24:$B$34,MATCH(B270,'Method &amp; Notes'!$A$24:$A$34,0)),"")</f>
        <v>DIY and how-to interest</v>
      </c>
      <c r="D270" s="15" t="s">
        <v>456</v>
      </c>
      <c r="E270" s="16" t="s">
        <v>457</v>
      </c>
      <c r="F270" s="15" t="s">
        <v>810</v>
      </c>
    </row>
    <row r="271" customFormat="false" ht="23.85" hidden="false" customHeight="false" outlineLevel="0" collapsed="false">
      <c r="A271" s="15" t="s">
        <v>97</v>
      </c>
      <c r="B271" s="15" t="s">
        <v>459</v>
      </c>
      <c r="C271" s="15" t="str">
        <f aca="false">IFERROR(INDEX('Method &amp; Notes'!$B$24:$B$34,MATCH(B271,'Method &amp; Notes'!$A$24:$A$34,0)),"")</f>
        <v>Rental and property maintenance requests</v>
      </c>
      <c r="D271" s="15" t="s">
        <v>589</v>
      </c>
      <c r="E271" s="16" t="s">
        <v>590</v>
      </c>
      <c r="F271" s="15" t="s">
        <v>1018</v>
      </c>
    </row>
    <row r="272" customFormat="false" ht="23.85" hidden="false" customHeight="false" outlineLevel="0" collapsed="false">
      <c r="A272" s="15" t="s">
        <v>97</v>
      </c>
      <c r="B272" s="15" t="s">
        <v>463</v>
      </c>
      <c r="C272" s="15" t="str">
        <f aca="false">IFERROR(INDEX('Method &amp; Notes'!$B$24:$B$34,MATCH(B272,'Method &amp; Notes'!$A$24:$A$34,0)),"")</f>
        <v>Memberships, concierge and retailer services</v>
      </c>
      <c r="D272" s="15" t="s">
        <v>664</v>
      </c>
      <c r="E272" s="16" t="s">
        <v>665</v>
      </c>
      <c r="F272" s="15" t="s">
        <v>1019</v>
      </c>
    </row>
    <row r="273" customFormat="false" ht="23.85" hidden="false" customHeight="false" outlineLevel="0" collapsed="false">
      <c r="A273" s="15" t="s">
        <v>97</v>
      </c>
      <c r="B273" s="15" t="s">
        <v>463</v>
      </c>
      <c r="C273" s="15" t="str">
        <f aca="false">IFERROR(INDEX('Method &amp; Notes'!$B$24:$B$34,MATCH(B273,'Method &amp; Notes'!$A$24:$A$34,0)),"")</f>
        <v>Memberships, concierge and retailer services</v>
      </c>
      <c r="D273" s="15" t="s">
        <v>1020</v>
      </c>
      <c r="E273" s="16" t="s">
        <v>1021</v>
      </c>
      <c r="F273" s="15" t="s">
        <v>1022</v>
      </c>
    </row>
    <row r="274" customFormat="false" ht="15" hidden="false" customHeight="false" outlineLevel="0" collapsed="false">
      <c r="A274" s="15" t="s">
        <v>101</v>
      </c>
      <c r="B274" s="15" t="s">
        <v>431</v>
      </c>
      <c r="C274" s="15" t="str">
        <f aca="false">IFERROR(INDEX('Method &amp; Notes'!$B$24:$B$34,MATCH(B274,'Method &amp; Notes'!$A$24:$A$34,0)),"")</f>
        <v>Marketplaces and booking platforms</v>
      </c>
      <c r="D274" s="15" t="s">
        <v>432</v>
      </c>
      <c r="E274" s="16" t="s">
        <v>1023</v>
      </c>
      <c r="F274" s="15" t="s">
        <v>1024</v>
      </c>
    </row>
    <row r="275" customFormat="false" ht="23.85" hidden="false" customHeight="false" outlineLevel="0" collapsed="false">
      <c r="A275" s="15" t="s">
        <v>101</v>
      </c>
      <c r="B275" s="15" t="s">
        <v>441</v>
      </c>
      <c r="C275" s="15" t="str">
        <f aca="false">IFERROR(INDEX('Method &amp; Notes'!$B$24:$B$34,MATCH(B275,'Method &amp; Notes'!$A$24:$A$34,0)),"")</f>
        <v>Handyman business guides</v>
      </c>
      <c r="D275" s="15" t="s">
        <v>573</v>
      </c>
      <c r="E275" s="16" t="s">
        <v>574</v>
      </c>
      <c r="F275" s="15" t="s">
        <v>1025</v>
      </c>
    </row>
    <row r="276" customFormat="false" ht="15" hidden="false" customHeight="false" outlineLevel="0" collapsed="false">
      <c r="A276" s="15" t="s">
        <v>101</v>
      </c>
      <c r="B276" s="15" t="s">
        <v>448</v>
      </c>
      <c r="C276" s="15" t="str">
        <f aca="false">IFERROR(INDEX('Method &amp; Notes'!$B$24:$B$34,MATCH(B276,'Method &amp; Notes'!$A$24:$A$34,0)),"")</f>
        <v>Warranty claims and inspections</v>
      </c>
      <c r="D276" s="15" t="s">
        <v>576</v>
      </c>
      <c r="E276" s="16" t="s">
        <v>577</v>
      </c>
      <c r="F276" s="15" t="s">
        <v>1026</v>
      </c>
    </row>
    <row r="277" customFormat="false" ht="23.85" hidden="false" customHeight="false" outlineLevel="0" collapsed="false">
      <c r="A277" s="15" t="s">
        <v>101</v>
      </c>
      <c r="B277" s="15" t="s">
        <v>452</v>
      </c>
      <c r="C277" s="15" t="str">
        <f aca="false">IFERROR(INDEX('Method &amp; Notes'!$B$24:$B$34,MATCH(B277,'Method &amp; Notes'!$A$24:$A$34,0)),"")</f>
        <v>DIY and how-to interest</v>
      </c>
      <c r="D277" s="15" t="s">
        <v>456</v>
      </c>
      <c r="E277" s="16" t="s">
        <v>457</v>
      </c>
      <c r="F277" s="15" t="s">
        <v>1027</v>
      </c>
    </row>
    <row r="278" customFormat="false" ht="23.85" hidden="false" customHeight="false" outlineLevel="0" collapsed="false">
      <c r="A278" s="15" t="s">
        <v>101</v>
      </c>
      <c r="B278" s="15" t="s">
        <v>463</v>
      </c>
      <c r="C278" s="15" t="str">
        <f aca="false">IFERROR(INDEX('Method &amp; Notes'!$B$24:$B$34,MATCH(B278,'Method &amp; Notes'!$A$24:$A$34,0)),"")</f>
        <v>Memberships, concierge and retailer services</v>
      </c>
      <c r="D278" s="15" t="s">
        <v>1028</v>
      </c>
      <c r="E278" s="16" t="s">
        <v>1029</v>
      </c>
      <c r="F278" s="15" t="s">
        <v>1030</v>
      </c>
    </row>
    <row r="279" customFormat="false" ht="23.85" hidden="false" customHeight="false" outlineLevel="0" collapsed="false">
      <c r="A279" s="15" t="s">
        <v>101</v>
      </c>
      <c r="B279" s="15" t="s">
        <v>463</v>
      </c>
      <c r="C279" s="15" t="str">
        <f aca="false">IFERROR(INDEX('Method &amp; Notes'!$B$24:$B$34,MATCH(B279,'Method &amp; Notes'!$A$24:$A$34,0)),"")</f>
        <v>Memberships, concierge and retailer services</v>
      </c>
      <c r="D279" s="15" t="s">
        <v>743</v>
      </c>
      <c r="E279" s="16" t="s">
        <v>744</v>
      </c>
      <c r="F279" s="15" t="s">
        <v>1031</v>
      </c>
    </row>
    <row r="280" customFormat="false" ht="23.85" hidden="false" customHeight="false" outlineLevel="0" collapsed="false">
      <c r="A280" s="15" t="s">
        <v>101</v>
      </c>
      <c r="B280" s="15" t="s">
        <v>463</v>
      </c>
      <c r="C280" s="15" t="str">
        <f aca="false">IFERROR(INDEX('Method &amp; Notes'!$B$24:$B$34,MATCH(B280,'Method &amp; Notes'!$A$24:$A$34,0)),"")</f>
        <v>Memberships, concierge and retailer services</v>
      </c>
      <c r="D280" s="15" t="s">
        <v>638</v>
      </c>
      <c r="E280" s="16" t="s">
        <v>639</v>
      </c>
      <c r="F280" s="15" t="s">
        <v>1032</v>
      </c>
    </row>
    <row r="281" customFormat="false" ht="23.85" hidden="false" customHeight="false" outlineLevel="0" collapsed="false">
      <c r="A281" s="15" t="s">
        <v>101</v>
      </c>
      <c r="B281" s="15" t="s">
        <v>477</v>
      </c>
      <c r="C281" s="15" t="str">
        <f aca="false">IFERROR(INDEX('Method &amp; Notes'!$B$24:$B$34,MATCH(B281,'Method &amp; Notes'!$A$24:$A$34,0)),"")</f>
        <v>Regional, seasonal and emerging demand</v>
      </c>
      <c r="D281" s="15" t="s">
        <v>483</v>
      </c>
      <c r="E281" s="16" t="s">
        <v>484</v>
      </c>
      <c r="F281" s="15" t="s">
        <v>1033</v>
      </c>
    </row>
    <row r="282" customFormat="false" ht="15" hidden="false" customHeight="false" outlineLevel="0" collapsed="false">
      <c r="A282" s="15" t="s">
        <v>106</v>
      </c>
      <c r="B282" s="15" t="s">
        <v>431</v>
      </c>
      <c r="C282" s="15" t="str">
        <f aca="false">IFERROR(INDEX('Method &amp; Notes'!$B$24:$B$34,MATCH(B282,'Method &amp; Notes'!$A$24:$A$34,0)),"")</f>
        <v>Marketplaces and booking platforms</v>
      </c>
      <c r="D282" s="15" t="s">
        <v>435</v>
      </c>
      <c r="E282" s="16" t="s">
        <v>1034</v>
      </c>
      <c r="F282" s="15" t="s">
        <v>1035</v>
      </c>
    </row>
    <row r="283" customFormat="false" ht="15" hidden="false" customHeight="false" outlineLevel="0" collapsed="false">
      <c r="A283" s="15" t="s">
        <v>106</v>
      </c>
      <c r="B283" s="15" t="s">
        <v>431</v>
      </c>
      <c r="C283" s="15" t="str">
        <f aca="false">IFERROR(INDEX('Method &amp; Notes'!$B$24:$B$34,MATCH(B283,'Method &amp; Notes'!$A$24:$A$34,0)),"")</f>
        <v>Marketplaces and booking platforms</v>
      </c>
      <c r="D283" s="15" t="s">
        <v>435</v>
      </c>
      <c r="E283" s="16" t="s">
        <v>1036</v>
      </c>
      <c r="F283" s="15" t="s">
        <v>1037</v>
      </c>
    </row>
    <row r="284" customFormat="false" ht="23.85" hidden="false" customHeight="false" outlineLevel="0" collapsed="false">
      <c r="A284" s="15" t="s">
        <v>106</v>
      </c>
      <c r="B284" s="15" t="s">
        <v>441</v>
      </c>
      <c r="C284" s="15" t="str">
        <f aca="false">IFERROR(INDEX('Method &amp; Notes'!$B$24:$B$34,MATCH(B284,'Method &amp; Notes'!$A$24:$A$34,0)),"")</f>
        <v>Handyman business guides</v>
      </c>
      <c r="D284" s="15" t="s">
        <v>445</v>
      </c>
      <c r="E284" s="16" t="s">
        <v>446</v>
      </c>
      <c r="F284" s="15" t="s">
        <v>1038</v>
      </c>
    </row>
    <row r="285" customFormat="false" ht="23.85" hidden="false" customHeight="false" outlineLevel="0" collapsed="false">
      <c r="A285" s="15" t="s">
        <v>106</v>
      </c>
      <c r="B285" s="15" t="s">
        <v>448</v>
      </c>
      <c r="C285" s="15" t="str">
        <f aca="false">IFERROR(INDEX('Method &amp; Notes'!$B$24:$B$34,MATCH(B285,'Method &amp; Notes'!$A$24:$A$34,0)),"")</f>
        <v>Warranty claims and inspections</v>
      </c>
      <c r="D285" s="15" t="s">
        <v>995</v>
      </c>
      <c r="E285" s="16" t="s">
        <v>996</v>
      </c>
      <c r="F285" s="15" t="s">
        <v>1039</v>
      </c>
    </row>
    <row r="286" customFormat="false" ht="15" hidden="false" customHeight="false" outlineLevel="0" collapsed="false">
      <c r="A286" s="15" t="s">
        <v>106</v>
      </c>
      <c r="B286" s="15" t="s">
        <v>448</v>
      </c>
      <c r="C286" s="15" t="str">
        <f aca="false">IFERROR(INDEX('Method &amp; Notes'!$B$24:$B$34,MATCH(B286,'Method &amp; Notes'!$A$24:$A$34,0)),"")</f>
        <v>Warranty claims and inspections</v>
      </c>
      <c r="D286" s="15" t="s">
        <v>964</v>
      </c>
      <c r="E286" s="16" t="s">
        <v>965</v>
      </c>
      <c r="F286" s="15" t="s">
        <v>1040</v>
      </c>
    </row>
    <row r="287" customFormat="false" ht="35.05" hidden="false" customHeight="false" outlineLevel="0" collapsed="false">
      <c r="A287" s="15" t="s">
        <v>106</v>
      </c>
      <c r="B287" s="15" t="s">
        <v>452</v>
      </c>
      <c r="C287" s="15" t="str">
        <f aca="false">IFERROR(INDEX('Method &amp; Notes'!$B$24:$B$34,MATCH(B287,'Method &amp; Notes'!$A$24:$A$34,0)),"")</f>
        <v>DIY and how-to interest</v>
      </c>
      <c r="D287" s="15" t="s">
        <v>731</v>
      </c>
      <c r="E287" s="16" t="s">
        <v>732</v>
      </c>
      <c r="F287" s="15" t="s">
        <v>1041</v>
      </c>
    </row>
    <row r="288" customFormat="false" ht="23.85" hidden="false" customHeight="false" outlineLevel="0" collapsed="false">
      <c r="A288" s="15" t="s">
        <v>106</v>
      </c>
      <c r="B288" s="15" t="s">
        <v>452</v>
      </c>
      <c r="C288" s="15" t="str">
        <f aca="false">IFERROR(INDEX('Method &amp; Notes'!$B$24:$B$34,MATCH(B288,'Method &amp; Notes'!$A$24:$A$34,0)),"")</f>
        <v>DIY and how-to interest</v>
      </c>
      <c r="D288" s="15" t="s">
        <v>789</v>
      </c>
      <c r="E288" s="16" t="s">
        <v>790</v>
      </c>
      <c r="F288" s="15" t="s">
        <v>1042</v>
      </c>
    </row>
    <row r="289" customFormat="false" ht="23.85" hidden="false" customHeight="false" outlineLevel="0" collapsed="false">
      <c r="A289" s="15" t="s">
        <v>106</v>
      </c>
      <c r="B289" s="15" t="s">
        <v>459</v>
      </c>
      <c r="C289" s="15" t="str">
        <f aca="false">IFERROR(INDEX('Method &amp; Notes'!$B$24:$B$34,MATCH(B289,'Method &amp; Notes'!$A$24:$A$34,0)),"")</f>
        <v>Rental and property maintenance requests</v>
      </c>
      <c r="D289" s="15" t="s">
        <v>1043</v>
      </c>
      <c r="E289" s="16" t="s">
        <v>1044</v>
      </c>
      <c r="F289" s="15" t="s">
        <v>1045</v>
      </c>
    </row>
    <row r="290" customFormat="false" ht="23.85" hidden="false" customHeight="false" outlineLevel="0" collapsed="false">
      <c r="A290" s="15" t="s">
        <v>106</v>
      </c>
      <c r="B290" s="15" t="s">
        <v>459</v>
      </c>
      <c r="C290" s="15" t="str">
        <f aca="false">IFERROR(INDEX('Method &amp; Notes'!$B$24:$B$34,MATCH(B290,'Method &amp; Notes'!$A$24:$A$34,0)),"")</f>
        <v>Rental and property maintenance requests</v>
      </c>
      <c r="D290" s="15" t="s">
        <v>589</v>
      </c>
      <c r="E290" s="16" t="s">
        <v>590</v>
      </c>
      <c r="F290" s="15" t="s">
        <v>1046</v>
      </c>
    </row>
    <row r="291" customFormat="false" ht="15" hidden="false" customHeight="false" outlineLevel="0" collapsed="false">
      <c r="A291" s="15" t="s">
        <v>106</v>
      </c>
      <c r="B291" s="15" t="s">
        <v>467</v>
      </c>
      <c r="C291" s="15" t="str">
        <f aca="false">IFERROR(INDEX('Method &amp; Notes'!$B$24:$B$34,MATCH(B291,'Method &amp; Notes'!$A$24:$A$34,0)),"")</f>
        <v>Time, cost and scope guides</v>
      </c>
      <c r="D291" s="15" t="s">
        <v>432</v>
      </c>
      <c r="E291" s="16" t="s">
        <v>775</v>
      </c>
      <c r="F291" s="15" t="s">
        <v>776</v>
      </c>
    </row>
    <row r="292" customFormat="false" ht="15" hidden="false" customHeight="false" outlineLevel="0" collapsed="false">
      <c r="A292" s="15" t="s">
        <v>106</v>
      </c>
      <c r="B292" s="15" t="s">
        <v>467</v>
      </c>
      <c r="C292" s="15" t="str">
        <f aca="false">IFERROR(INDEX('Method &amp; Notes'!$B$24:$B$34,MATCH(B292,'Method &amp; Notes'!$A$24:$A$34,0)),"")</f>
        <v>Time, cost and scope guides</v>
      </c>
      <c r="D292" s="15" t="s">
        <v>794</v>
      </c>
      <c r="E292" s="16" t="s">
        <v>795</v>
      </c>
      <c r="F292" s="15" t="s">
        <v>1047</v>
      </c>
    </row>
    <row r="293" customFormat="false" ht="15" hidden="false" customHeight="false" outlineLevel="0" collapsed="false">
      <c r="A293" s="15" t="s">
        <v>110</v>
      </c>
      <c r="B293" s="15" t="s">
        <v>431</v>
      </c>
      <c r="C293" s="15" t="str">
        <f aca="false">IFERROR(INDEX('Method &amp; Notes'!$B$24:$B$34,MATCH(B293,'Method &amp; Notes'!$A$24:$A$34,0)),"")</f>
        <v>Marketplaces and booking platforms</v>
      </c>
      <c r="D293" s="15" t="s">
        <v>598</v>
      </c>
      <c r="E293" s="16" t="s">
        <v>599</v>
      </c>
      <c r="F293" s="15" t="s">
        <v>885</v>
      </c>
    </row>
    <row r="294" customFormat="false" ht="15" hidden="false" customHeight="false" outlineLevel="0" collapsed="false">
      <c r="A294" s="15" t="s">
        <v>110</v>
      </c>
      <c r="B294" s="15" t="s">
        <v>431</v>
      </c>
      <c r="C294" s="15" t="str">
        <f aca="false">IFERROR(INDEX('Method &amp; Notes'!$B$24:$B$34,MATCH(B294,'Method &amp; Notes'!$A$24:$A$34,0)),"")</f>
        <v>Marketplaces and booking platforms</v>
      </c>
      <c r="D294" s="15" t="s">
        <v>1048</v>
      </c>
      <c r="E294" s="16" t="s">
        <v>844</v>
      </c>
      <c r="F294" s="15" t="s">
        <v>1049</v>
      </c>
    </row>
    <row r="295" customFormat="false" ht="15" hidden="false" customHeight="false" outlineLevel="0" collapsed="false">
      <c r="A295" s="15" t="s">
        <v>110</v>
      </c>
      <c r="B295" s="15" t="s">
        <v>441</v>
      </c>
      <c r="C295" s="15" t="str">
        <f aca="false">IFERROR(INDEX('Method &amp; Notes'!$B$24:$B$34,MATCH(B295,'Method &amp; Notes'!$A$24:$A$34,0)),"")</f>
        <v>Handyman business guides</v>
      </c>
      <c r="D295" s="15" t="s">
        <v>886</v>
      </c>
      <c r="E295" s="16" t="s">
        <v>887</v>
      </c>
      <c r="F295" s="15" t="s">
        <v>888</v>
      </c>
    </row>
    <row r="296" customFormat="false" ht="15" hidden="false" customHeight="false" outlineLevel="0" collapsed="false">
      <c r="A296" s="15" t="s">
        <v>110</v>
      </c>
      <c r="B296" s="15" t="s">
        <v>448</v>
      </c>
      <c r="C296" s="15" t="str">
        <f aca="false">IFERROR(INDEX('Method &amp; Notes'!$B$24:$B$34,MATCH(B296,'Method &amp; Notes'!$A$24:$A$34,0)),"")</f>
        <v>Warranty claims and inspections</v>
      </c>
      <c r="D296" s="15" t="s">
        <v>576</v>
      </c>
      <c r="E296" s="16" t="s">
        <v>577</v>
      </c>
      <c r="F296" s="15" t="s">
        <v>1050</v>
      </c>
    </row>
    <row r="297" customFormat="false" ht="23.85" hidden="false" customHeight="false" outlineLevel="0" collapsed="false">
      <c r="A297" s="15" t="s">
        <v>110</v>
      </c>
      <c r="B297" s="15" t="s">
        <v>459</v>
      </c>
      <c r="C297" s="15" t="str">
        <f aca="false">IFERROR(INDEX('Method &amp; Notes'!$B$24:$B$34,MATCH(B297,'Method &amp; Notes'!$A$24:$A$34,0)),"")</f>
        <v>Rental and property maintenance requests</v>
      </c>
      <c r="D297" s="15" t="s">
        <v>706</v>
      </c>
      <c r="E297" s="16" t="s">
        <v>707</v>
      </c>
      <c r="F297" s="15" t="s">
        <v>1051</v>
      </c>
    </row>
    <row r="298" customFormat="false" ht="23.85" hidden="false" customHeight="false" outlineLevel="0" collapsed="false">
      <c r="A298" s="15" t="s">
        <v>110</v>
      </c>
      <c r="B298" s="15" t="s">
        <v>459</v>
      </c>
      <c r="C298" s="15" t="str">
        <f aca="false">IFERROR(INDEX('Method &amp; Notes'!$B$24:$B$34,MATCH(B298,'Method &amp; Notes'!$A$24:$A$34,0)),"")</f>
        <v>Rental and property maintenance requests</v>
      </c>
      <c r="D298" s="15" t="s">
        <v>1052</v>
      </c>
      <c r="E298" s="16" t="s">
        <v>1053</v>
      </c>
      <c r="F298" s="15" t="s">
        <v>1054</v>
      </c>
    </row>
    <row r="299" customFormat="false" ht="23.85" hidden="false" customHeight="false" outlineLevel="0" collapsed="false">
      <c r="A299" s="15" t="s">
        <v>110</v>
      </c>
      <c r="B299" s="15" t="s">
        <v>463</v>
      </c>
      <c r="C299" s="15" t="str">
        <f aca="false">IFERROR(INDEX('Method &amp; Notes'!$B$24:$B$34,MATCH(B299,'Method &amp; Notes'!$A$24:$A$34,0)),"")</f>
        <v>Memberships, concierge and retailer services</v>
      </c>
      <c r="D299" s="15" t="s">
        <v>975</v>
      </c>
      <c r="E299" s="16" t="s">
        <v>976</v>
      </c>
      <c r="F299" s="15" t="s">
        <v>1055</v>
      </c>
    </row>
    <row r="300" customFormat="false" ht="23.85" hidden="false" customHeight="false" outlineLevel="0" collapsed="false">
      <c r="A300" s="15" t="s">
        <v>110</v>
      </c>
      <c r="B300" s="15" t="s">
        <v>477</v>
      </c>
      <c r="C300" s="15" t="str">
        <f aca="false">IFERROR(INDEX('Method &amp; Notes'!$B$24:$B$34,MATCH(B300,'Method &amp; Notes'!$A$24:$A$34,0)),"")</f>
        <v>Regional, seasonal and emerging demand</v>
      </c>
      <c r="D300" s="15" t="s">
        <v>480</v>
      </c>
      <c r="E300" s="16" t="s">
        <v>481</v>
      </c>
      <c r="F300" s="15" t="s">
        <v>1056</v>
      </c>
    </row>
    <row r="301" customFormat="false" ht="23.85" hidden="false" customHeight="false" outlineLevel="0" collapsed="false">
      <c r="A301" s="15" t="s">
        <v>110</v>
      </c>
      <c r="B301" s="15" t="s">
        <v>477</v>
      </c>
      <c r="C301" s="15" t="str">
        <f aca="false">IFERROR(INDEX('Method &amp; Notes'!$B$24:$B$34,MATCH(B301,'Method &amp; Notes'!$A$24:$A$34,0)),"")</f>
        <v>Regional, seasonal and emerging demand</v>
      </c>
      <c r="D301" s="15" t="s">
        <v>713</v>
      </c>
      <c r="E301" s="16" t="s">
        <v>714</v>
      </c>
      <c r="F301" s="15" t="s">
        <v>715</v>
      </c>
    </row>
    <row r="302" customFormat="false" ht="15" hidden="false" customHeight="false" outlineLevel="0" collapsed="false">
      <c r="A302" s="15" t="s">
        <v>114</v>
      </c>
      <c r="B302" s="15" t="s">
        <v>431</v>
      </c>
      <c r="C302" s="15" t="str">
        <f aca="false">IFERROR(INDEX('Method &amp; Notes'!$B$24:$B$34,MATCH(B302,'Method &amp; Notes'!$A$24:$A$34,0)),"")</f>
        <v>Marketplaces and booking platforms</v>
      </c>
      <c r="D302" s="15" t="s">
        <v>435</v>
      </c>
      <c r="E302" s="16" t="s">
        <v>1057</v>
      </c>
      <c r="F302" s="15" t="s">
        <v>1058</v>
      </c>
    </row>
    <row r="303" customFormat="false" ht="23.85" hidden="false" customHeight="false" outlineLevel="0" collapsed="false">
      <c r="A303" s="15" t="s">
        <v>114</v>
      </c>
      <c r="B303" s="15" t="s">
        <v>448</v>
      </c>
      <c r="C303" s="15" t="str">
        <f aca="false">IFERROR(INDEX('Method &amp; Notes'!$B$24:$B$34,MATCH(B303,'Method &amp; Notes'!$A$24:$A$34,0)),"")</f>
        <v>Warranty claims and inspections</v>
      </c>
      <c r="D303" s="15" t="s">
        <v>579</v>
      </c>
      <c r="E303" s="16" t="s">
        <v>580</v>
      </c>
      <c r="F303" s="15" t="s">
        <v>1059</v>
      </c>
    </row>
    <row r="304" customFormat="false" ht="35.05" hidden="false" customHeight="false" outlineLevel="0" collapsed="false">
      <c r="A304" s="15" t="s">
        <v>114</v>
      </c>
      <c r="B304" s="15" t="s">
        <v>452</v>
      </c>
      <c r="C304" s="15" t="str">
        <f aca="false">IFERROR(INDEX('Method &amp; Notes'!$B$24:$B$34,MATCH(B304,'Method &amp; Notes'!$A$24:$A$34,0)),"")</f>
        <v>DIY and how-to interest</v>
      </c>
      <c r="D304" s="15" t="s">
        <v>505</v>
      </c>
      <c r="E304" s="16" t="s">
        <v>506</v>
      </c>
      <c r="F304" s="15" t="s">
        <v>1060</v>
      </c>
    </row>
    <row r="305" customFormat="false" ht="23.85" hidden="false" customHeight="false" outlineLevel="0" collapsed="false">
      <c r="A305" s="15" t="s">
        <v>114</v>
      </c>
      <c r="B305" s="15" t="s">
        <v>452</v>
      </c>
      <c r="C305" s="15" t="str">
        <f aca="false">IFERROR(INDEX('Method &amp; Notes'!$B$24:$B$34,MATCH(B305,'Method &amp; Notes'!$A$24:$A$34,0)),"")</f>
        <v>DIY and how-to interest</v>
      </c>
      <c r="D305" s="15" t="s">
        <v>971</v>
      </c>
      <c r="E305" s="16" t="s">
        <v>972</v>
      </c>
      <c r="F305" s="15" t="s">
        <v>1061</v>
      </c>
    </row>
    <row r="306" customFormat="false" ht="23.85" hidden="false" customHeight="false" outlineLevel="0" collapsed="false">
      <c r="A306" s="15" t="s">
        <v>114</v>
      </c>
      <c r="B306" s="15" t="s">
        <v>459</v>
      </c>
      <c r="C306" s="15" t="str">
        <f aca="false">IFERROR(INDEX('Method &amp; Notes'!$B$24:$B$34,MATCH(B306,'Method &amp; Notes'!$A$24:$A$34,0)),"")</f>
        <v>Rental and property maintenance requests</v>
      </c>
      <c r="D306" s="15" t="s">
        <v>1062</v>
      </c>
      <c r="E306" s="16" t="s">
        <v>1063</v>
      </c>
      <c r="F306" s="15" t="s">
        <v>1064</v>
      </c>
    </row>
    <row r="307" customFormat="false" ht="23.85" hidden="false" customHeight="false" outlineLevel="0" collapsed="false">
      <c r="A307" s="15" t="s">
        <v>114</v>
      </c>
      <c r="B307" s="15" t="s">
        <v>459</v>
      </c>
      <c r="C307" s="15" t="str">
        <f aca="false">IFERROR(INDEX('Method &amp; Notes'!$B$24:$B$34,MATCH(B307,'Method &amp; Notes'!$A$24:$A$34,0)),"")</f>
        <v>Rental and property maintenance requests</v>
      </c>
      <c r="D307" s="15" t="s">
        <v>1065</v>
      </c>
      <c r="E307" s="16" t="s">
        <v>1066</v>
      </c>
      <c r="F307" s="15" t="s">
        <v>1067</v>
      </c>
    </row>
    <row r="308" customFormat="false" ht="23.85" hidden="false" customHeight="false" outlineLevel="0" collapsed="false">
      <c r="A308" s="15" t="s">
        <v>114</v>
      </c>
      <c r="B308" s="15" t="s">
        <v>463</v>
      </c>
      <c r="C308" s="15" t="str">
        <f aca="false">IFERROR(INDEX('Method &amp; Notes'!$B$24:$B$34,MATCH(B308,'Method &amp; Notes'!$A$24:$A$34,0)),"")</f>
        <v>Memberships, concierge and retailer services</v>
      </c>
      <c r="D308" s="15" t="s">
        <v>638</v>
      </c>
      <c r="E308" s="16" t="s">
        <v>639</v>
      </c>
      <c r="F308" s="15" t="s">
        <v>1068</v>
      </c>
    </row>
    <row r="309" customFormat="false" ht="23.85" hidden="false" customHeight="false" outlineLevel="0" collapsed="false">
      <c r="A309" s="15" t="s">
        <v>114</v>
      </c>
      <c r="B309" s="15" t="s">
        <v>477</v>
      </c>
      <c r="C309" s="15" t="str">
        <f aca="false">IFERROR(INDEX('Method &amp; Notes'!$B$24:$B$34,MATCH(B309,'Method &amp; Notes'!$A$24:$A$34,0)),"")</f>
        <v>Regional, seasonal and emerging demand</v>
      </c>
      <c r="D309" s="15" t="s">
        <v>983</v>
      </c>
      <c r="E309" s="16" t="s">
        <v>984</v>
      </c>
      <c r="F309" s="15" t="s">
        <v>1069</v>
      </c>
    </row>
    <row r="310" customFormat="false" ht="15" hidden="false" customHeight="false" outlineLevel="0" collapsed="false">
      <c r="A310" s="15" t="s">
        <v>118</v>
      </c>
      <c r="B310" s="15" t="s">
        <v>431</v>
      </c>
      <c r="C310" s="15" t="str">
        <f aca="false">IFERROR(INDEX('Method &amp; Notes'!$B$24:$B$34,MATCH(B310,'Method &amp; Notes'!$A$24:$A$34,0)),"")</f>
        <v>Marketplaces and booking platforms</v>
      </c>
      <c r="D310" s="15" t="s">
        <v>435</v>
      </c>
      <c r="E310" s="16" t="s">
        <v>1070</v>
      </c>
      <c r="F310" s="15" t="s">
        <v>1071</v>
      </c>
    </row>
    <row r="311" customFormat="false" ht="15" hidden="false" customHeight="false" outlineLevel="0" collapsed="false">
      <c r="A311" s="15" t="s">
        <v>118</v>
      </c>
      <c r="B311" s="15" t="s">
        <v>431</v>
      </c>
      <c r="C311" s="15" t="str">
        <f aca="false">IFERROR(INDEX('Method &amp; Notes'!$B$24:$B$34,MATCH(B311,'Method &amp; Notes'!$A$24:$A$34,0)),"")</f>
        <v>Marketplaces and booking platforms</v>
      </c>
      <c r="D311" s="15" t="s">
        <v>435</v>
      </c>
      <c r="E311" s="16" t="s">
        <v>1072</v>
      </c>
      <c r="F311" s="15" t="s">
        <v>1073</v>
      </c>
    </row>
    <row r="312" customFormat="false" ht="15" hidden="false" customHeight="false" outlineLevel="0" collapsed="false">
      <c r="A312" s="15" t="s">
        <v>118</v>
      </c>
      <c r="B312" s="15" t="s">
        <v>441</v>
      </c>
      <c r="C312" s="15" t="str">
        <f aca="false">IFERROR(INDEX('Method &amp; Notes'!$B$24:$B$34,MATCH(B312,'Method &amp; Notes'!$A$24:$A$34,0)),"")</f>
        <v>Handyman business guides</v>
      </c>
      <c r="D312" s="15" t="s">
        <v>625</v>
      </c>
      <c r="E312" s="16" t="s">
        <v>655</v>
      </c>
      <c r="F312" s="15" t="s">
        <v>1074</v>
      </c>
    </row>
    <row r="313" customFormat="false" ht="23.85" hidden="false" customHeight="false" outlineLevel="0" collapsed="false">
      <c r="A313" s="15" t="s">
        <v>118</v>
      </c>
      <c r="B313" s="15" t="s">
        <v>463</v>
      </c>
      <c r="C313" s="15" t="str">
        <f aca="false">IFERROR(INDEX('Method &amp; Notes'!$B$24:$B$34,MATCH(B313,'Method &amp; Notes'!$A$24:$A$34,0)),"")</f>
        <v>Memberships, concierge and retailer services</v>
      </c>
      <c r="D313" s="15" t="s">
        <v>1075</v>
      </c>
      <c r="E313" s="16" t="s">
        <v>1076</v>
      </c>
      <c r="F313" s="15" t="s">
        <v>1077</v>
      </c>
    </row>
    <row r="314" customFormat="false" ht="23.85" hidden="false" customHeight="false" outlineLevel="0" collapsed="false">
      <c r="A314" s="15" t="s">
        <v>118</v>
      </c>
      <c r="B314" s="15" t="s">
        <v>463</v>
      </c>
      <c r="C314" s="15" t="str">
        <f aca="false">IFERROR(INDEX('Method &amp; Notes'!$B$24:$B$34,MATCH(B314,'Method &amp; Notes'!$A$24:$A$34,0)),"")</f>
        <v>Memberships, concierge and retailer services</v>
      </c>
      <c r="D314" s="15" t="s">
        <v>664</v>
      </c>
      <c r="E314" s="16" t="s">
        <v>665</v>
      </c>
      <c r="F314" s="15" t="s">
        <v>1078</v>
      </c>
    </row>
    <row r="315" customFormat="false" ht="23.85" hidden="false" customHeight="false" outlineLevel="0" collapsed="false">
      <c r="A315" s="15" t="s">
        <v>118</v>
      </c>
      <c r="B315" s="15" t="s">
        <v>467</v>
      </c>
      <c r="C315" s="15" t="str">
        <f aca="false">IFERROR(INDEX('Method &amp; Notes'!$B$24:$B$34,MATCH(B315,'Method &amp; Notes'!$A$24:$A$34,0)),"")</f>
        <v>Time, cost and scope guides</v>
      </c>
      <c r="D315" s="15" t="s">
        <v>445</v>
      </c>
      <c r="E315" s="16" t="s">
        <v>1079</v>
      </c>
      <c r="F315" s="15" t="s">
        <v>1080</v>
      </c>
    </row>
    <row r="316" customFormat="false" ht="15" hidden="false" customHeight="false" outlineLevel="0" collapsed="false">
      <c r="A316" s="15" t="s">
        <v>118</v>
      </c>
      <c r="B316" s="15" t="s">
        <v>467</v>
      </c>
      <c r="C316" s="15" t="str">
        <f aca="false">IFERROR(INDEX('Method &amp; Notes'!$B$24:$B$34,MATCH(B316,'Method &amp; Notes'!$A$24:$A$34,0)),"")</f>
        <v>Time, cost and scope guides</v>
      </c>
      <c r="D316" s="15" t="s">
        <v>667</v>
      </c>
      <c r="E316" s="16" t="s">
        <v>668</v>
      </c>
      <c r="F316" s="15" t="s">
        <v>1081</v>
      </c>
    </row>
    <row r="317" customFormat="false" ht="15" hidden="false" customHeight="false" outlineLevel="0" collapsed="false">
      <c r="A317" s="15" t="s">
        <v>118</v>
      </c>
      <c r="B317" s="15" t="s">
        <v>467</v>
      </c>
      <c r="C317" s="15" t="str">
        <f aca="false">IFERROR(INDEX('Method &amp; Notes'!$B$24:$B$34,MATCH(B317,'Method &amp; Notes'!$A$24:$A$34,0)),"")</f>
        <v>Time, cost and scope guides</v>
      </c>
      <c r="D317" s="15" t="s">
        <v>496</v>
      </c>
      <c r="E317" s="16" t="s">
        <v>1082</v>
      </c>
      <c r="F317" s="15" t="s">
        <v>1083</v>
      </c>
    </row>
    <row r="318" customFormat="false" ht="15" hidden="false" customHeight="false" outlineLevel="0" collapsed="false">
      <c r="A318" s="15" t="s">
        <v>118</v>
      </c>
      <c r="B318" s="15" t="s">
        <v>467</v>
      </c>
      <c r="C318" s="15" t="str">
        <f aca="false">IFERROR(INDEX('Method &amp; Notes'!$B$24:$B$34,MATCH(B318,'Method &amp; Notes'!$A$24:$A$34,0)),"")</f>
        <v>Time, cost and scope guides</v>
      </c>
      <c r="D318" s="15" t="s">
        <v>670</v>
      </c>
      <c r="E318" s="16" t="s">
        <v>671</v>
      </c>
      <c r="F318" s="15" t="s">
        <v>1084</v>
      </c>
    </row>
    <row r="319" customFormat="false" ht="23.85" hidden="false" customHeight="false" outlineLevel="0" collapsed="false">
      <c r="A319" s="15" t="s">
        <v>118</v>
      </c>
      <c r="B319" s="15" t="s">
        <v>477</v>
      </c>
      <c r="C319" s="15" t="str">
        <f aca="false">IFERROR(INDEX('Method &amp; Notes'!$B$24:$B$34,MATCH(B319,'Method &amp; Notes'!$A$24:$A$34,0)),"")</f>
        <v>Regional, seasonal and emerging demand</v>
      </c>
      <c r="D319" s="15" t="s">
        <v>1085</v>
      </c>
      <c r="E319" s="16" t="s">
        <v>1086</v>
      </c>
      <c r="F319" s="15" t="s">
        <v>1087</v>
      </c>
    </row>
    <row r="320" customFormat="false" ht="23.85" hidden="false" customHeight="false" outlineLevel="0" collapsed="false">
      <c r="A320" s="15" t="s">
        <v>118</v>
      </c>
      <c r="B320" s="15" t="s">
        <v>477</v>
      </c>
      <c r="C320" s="15" t="str">
        <f aca="false">IFERROR(INDEX('Method &amp; Notes'!$B$24:$B$34,MATCH(B320,'Method &amp; Notes'!$A$24:$A$34,0)),"")</f>
        <v>Regional, seasonal and emerging demand</v>
      </c>
      <c r="D320" s="15" t="s">
        <v>1088</v>
      </c>
      <c r="E320" s="16" t="s">
        <v>1089</v>
      </c>
      <c r="F320" s="15" t="s">
        <v>1090</v>
      </c>
    </row>
    <row r="321" customFormat="false" ht="23.85" hidden="false" customHeight="false" outlineLevel="0" collapsed="false">
      <c r="A321" s="15" t="s">
        <v>118</v>
      </c>
      <c r="B321" s="15" t="s">
        <v>477</v>
      </c>
      <c r="C321" s="15" t="str">
        <f aca="false">IFERROR(INDEX('Method &amp; Notes'!$B$24:$B$34,MATCH(B321,'Method &amp; Notes'!$A$24:$A$34,0)),"")</f>
        <v>Regional, seasonal and emerging demand</v>
      </c>
      <c r="D321" s="15" t="s">
        <v>676</v>
      </c>
      <c r="E321" s="16" t="s">
        <v>677</v>
      </c>
      <c r="F321" s="15" t="s">
        <v>678</v>
      </c>
    </row>
    <row r="322" customFormat="false" ht="23.85" hidden="false" customHeight="false" outlineLevel="0" collapsed="false">
      <c r="A322" s="15" t="s">
        <v>118</v>
      </c>
      <c r="B322" s="15" t="s">
        <v>477</v>
      </c>
      <c r="C322" s="15" t="str">
        <f aca="false">IFERROR(INDEX('Method &amp; Notes'!$B$24:$B$34,MATCH(B322,'Method &amp; Notes'!$A$24:$A$34,0)),"")</f>
        <v>Regional, seasonal and emerging demand</v>
      </c>
      <c r="D322" s="15" t="s">
        <v>679</v>
      </c>
      <c r="E322" s="16" t="s">
        <v>680</v>
      </c>
      <c r="F322" s="15" t="s">
        <v>681</v>
      </c>
    </row>
    <row r="323" customFormat="false" ht="23.85" hidden="false" customHeight="false" outlineLevel="0" collapsed="false">
      <c r="A323" s="15" t="s">
        <v>118</v>
      </c>
      <c r="B323" s="15" t="s">
        <v>486</v>
      </c>
      <c r="C323" s="15" t="str">
        <f aca="false">IFERROR(INDEX('Method &amp; Notes'!$B$24:$B$34,MATCH(B323,'Method &amp; Notes'!$A$24:$A$34,0)),"")</f>
        <v>Search demand</v>
      </c>
      <c r="D323" s="15" t="s">
        <v>688</v>
      </c>
      <c r="E323" s="16" t="s">
        <v>689</v>
      </c>
      <c r="F323" s="15" t="s">
        <v>690</v>
      </c>
    </row>
    <row r="324" customFormat="false" ht="15" hidden="false" customHeight="false" outlineLevel="0" collapsed="false">
      <c r="A324" s="15" t="s">
        <v>123</v>
      </c>
      <c r="B324" s="15" t="s">
        <v>431</v>
      </c>
      <c r="C324" s="15" t="str">
        <f aca="false">IFERROR(INDEX('Method &amp; Notes'!$B$24:$B$34,MATCH(B324,'Method &amp; Notes'!$A$24:$A$34,0)),"")</f>
        <v>Marketplaces and booking platforms</v>
      </c>
      <c r="D324" s="15" t="s">
        <v>435</v>
      </c>
      <c r="E324" s="16" t="s">
        <v>721</v>
      </c>
      <c r="F324" s="15" t="s">
        <v>1091</v>
      </c>
    </row>
    <row r="325" customFormat="false" ht="23.85" hidden="false" customHeight="false" outlineLevel="0" collapsed="false">
      <c r="A325" s="15" t="s">
        <v>123</v>
      </c>
      <c r="B325" s="15" t="s">
        <v>448</v>
      </c>
      <c r="C325" s="15" t="str">
        <f aca="false">IFERROR(INDEX('Method &amp; Notes'!$B$24:$B$34,MATCH(B325,'Method &amp; Notes'!$A$24:$A$34,0)),"")</f>
        <v>Warranty claims and inspections</v>
      </c>
      <c r="D325" s="15" t="s">
        <v>995</v>
      </c>
      <c r="E325" s="16" t="s">
        <v>996</v>
      </c>
      <c r="F325" s="15" t="s">
        <v>997</v>
      </c>
    </row>
    <row r="326" customFormat="false" ht="23.85" hidden="false" customHeight="false" outlineLevel="0" collapsed="false">
      <c r="A326" s="15" t="s">
        <v>123</v>
      </c>
      <c r="B326" s="15" t="s">
        <v>452</v>
      </c>
      <c r="C326" s="15" t="str">
        <f aca="false">IFERROR(INDEX('Method &amp; Notes'!$B$24:$B$34,MATCH(B326,'Method &amp; Notes'!$A$24:$A$34,0)),"")</f>
        <v>DIY and how-to interest</v>
      </c>
      <c r="D326" s="15" t="s">
        <v>453</v>
      </c>
      <c r="E326" s="16" t="s">
        <v>454</v>
      </c>
      <c r="F326" s="15" t="s">
        <v>1092</v>
      </c>
    </row>
    <row r="327" customFormat="false" ht="23.85" hidden="false" customHeight="false" outlineLevel="0" collapsed="false">
      <c r="A327" s="15" t="s">
        <v>123</v>
      </c>
      <c r="B327" s="15" t="s">
        <v>452</v>
      </c>
      <c r="C327" s="15" t="str">
        <f aca="false">IFERROR(INDEX('Method &amp; Notes'!$B$24:$B$34,MATCH(B327,'Method &amp; Notes'!$A$24:$A$34,0)),"")</f>
        <v>DIY and how-to interest</v>
      </c>
      <c r="D327" s="15" t="s">
        <v>1093</v>
      </c>
      <c r="E327" s="16" t="s">
        <v>1094</v>
      </c>
      <c r="F327" s="15" t="s">
        <v>1095</v>
      </c>
    </row>
    <row r="328" customFormat="false" ht="23.85" hidden="false" customHeight="false" outlineLevel="0" collapsed="false">
      <c r="A328" s="15" t="s">
        <v>123</v>
      </c>
      <c r="B328" s="15" t="s">
        <v>459</v>
      </c>
      <c r="C328" s="15" t="str">
        <f aca="false">IFERROR(INDEX('Method &amp; Notes'!$B$24:$B$34,MATCH(B328,'Method &amp; Notes'!$A$24:$A$34,0)),"")</f>
        <v>Rental and property maintenance requests</v>
      </c>
      <c r="D328" s="15" t="s">
        <v>589</v>
      </c>
      <c r="E328" s="16" t="s">
        <v>590</v>
      </c>
      <c r="F328" s="15" t="s">
        <v>1096</v>
      </c>
    </row>
    <row r="329" customFormat="false" ht="23.85" hidden="false" customHeight="false" outlineLevel="0" collapsed="false">
      <c r="A329" s="15" t="s">
        <v>123</v>
      </c>
      <c r="B329" s="15" t="s">
        <v>459</v>
      </c>
      <c r="C329" s="15" t="str">
        <f aca="false">IFERROR(INDEX('Method &amp; Notes'!$B$24:$B$34,MATCH(B329,'Method &amp; Notes'!$A$24:$A$34,0)),"")</f>
        <v>Rental and property maintenance requests</v>
      </c>
      <c r="D329" s="15" t="s">
        <v>706</v>
      </c>
      <c r="E329" s="16" t="s">
        <v>707</v>
      </c>
      <c r="F329" s="15" t="s">
        <v>1097</v>
      </c>
    </row>
    <row r="330" customFormat="false" ht="15" hidden="false" customHeight="false" outlineLevel="0" collapsed="false">
      <c r="A330" s="15" t="s">
        <v>123</v>
      </c>
      <c r="B330" s="15" t="s">
        <v>467</v>
      </c>
      <c r="C330" s="15" t="str">
        <f aca="false">IFERROR(INDEX('Method &amp; Notes'!$B$24:$B$34,MATCH(B330,'Method &amp; Notes'!$A$24:$A$34,0)),"")</f>
        <v>Time, cost and scope guides</v>
      </c>
      <c r="D330" s="15" t="s">
        <v>1098</v>
      </c>
      <c r="E330" s="16" t="s">
        <v>1099</v>
      </c>
      <c r="F330" s="15" t="s">
        <v>1100</v>
      </c>
    </row>
    <row r="331" customFormat="false" ht="15" hidden="false" customHeight="false" outlineLevel="0" collapsed="false">
      <c r="A331" s="15" t="s">
        <v>123</v>
      </c>
      <c r="B331" s="15" t="s">
        <v>467</v>
      </c>
      <c r="C331" s="15" t="str">
        <f aca="false">IFERROR(INDEX('Method &amp; Notes'!$B$24:$B$34,MATCH(B331,'Method &amp; Notes'!$A$24:$A$34,0)),"")</f>
        <v>Time, cost and scope guides</v>
      </c>
      <c r="D331" s="15" t="s">
        <v>432</v>
      </c>
      <c r="E331" s="16" t="s">
        <v>1101</v>
      </c>
      <c r="F331" s="15" t="s">
        <v>1102</v>
      </c>
    </row>
    <row r="332" customFormat="false" ht="23.85" hidden="false" customHeight="false" outlineLevel="0" collapsed="false">
      <c r="A332" s="15" t="s">
        <v>123</v>
      </c>
      <c r="B332" s="15" t="s">
        <v>486</v>
      </c>
      <c r="C332" s="15" t="str">
        <f aca="false">IFERROR(INDEX('Method &amp; Notes'!$B$24:$B$34,MATCH(B332,'Method &amp; Notes'!$A$24:$A$34,0)),"")</f>
        <v>Search demand</v>
      </c>
      <c r="D332" s="15" t="s">
        <v>487</v>
      </c>
      <c r="E332" s="16" t="s">
        <v>488</v>
      </c>
      <c r="F332" s="15" t="s">
        <v>1103</v>
      </c>
    </row>
    <row r="333" customFormat="false" ht="23.85" hidden="false" customHeight="false" outlineLevel="0" collapsed="false">
      <c r="A333" s="15" t="s">
        <v>123</v>
      </c>
      <c r="B333" s="15" t="s">
        <v>486</v>
      </c>
      <c r="C333" s="15" t="str">
        <f aca="false">IFERROR(INDEX('Method &amp; Notes'!$B$24:$B$34,MATCH(B333,'Method &amp; Notes'!$A$24:$A$34,0)),"")</f>
        <v>Search demand</v>
      </c>
      <c r="D333" s="15" t="s">
        <v>1104</v>
      </c>
      <c r="E333" s="16" t="s">
        <v>1105</v>
      </c>
      <c r="F333" s="15" t="s">
        <v>1106</v>
      </c>
    </row>
    <row r="334" customFormat="false" ht="15" hidden="false" customHeight="false" outlineLevel="0" collapsed="false">
      <c r="A334" s="15" t="s">
        <v>127</v>
      </c>
      <c r="B334" s="15" t="s">
        <v>431</v>
      </c>
      <c r="C334" s="15" t="str">
        <f aca="false">IFERROR(INDEX('Method &amp; Notes'!$B$24:$B$34,MATCH(B334,'Method &amp; Notes'!$A$24:$A$34,0)),"")</f>
        <v>Marketplaces and booking platforms</v>
      </c>
      <c r="D334" s="15" t="s">
        <v>468</v>
      </c>
      <c r="E334" s="16" t="s">
        <v>1107</v>
      </c>
      <c r="F334" s="15" t="s">
        <v>1108</v>
      </c>
    </row>
    <row r="335" customFormat="false" ht="15" hidden="false" customHeight="false" outlineLevel="0" collapsed="false">
      <c r="A335" s="15" t="s">
        <v>127</v>
      </c>
      <c r="B335" s="15" t="s">
        <v>431</v>
      </c>
      <c r="C335" s="15" t="str">
        <f aca="false">IFERROR(INDEX('Method &amp; Notes'!$B$24:$B$34,MATCH(B335,'Method &amp; Notes'!$A$24:$A$34,0)),"")</f>
        <v>Marketplaces and booking platforms</v>
      </c>
      <c r="D335" s="15" t="s">
        <v>652</v>
      </c>
      <c r="E335" s="16" t="s">
        <v>1109</v>
      </c>
      <c r="F335" s="15" t="s">
        <v>1110</v>
      </c>
    </row>
    <row r="336" customFormat="false" ht="15" hidden="false" customHeight="false" outlineLevel="0" collapsed="false">
      <c r="A336" s="15" t="s">
        <v>127</v>
      </c>
      <c r="B336" s="15" t="s">
        <v>431</v>
      </c>
      <c r="C336" s="15" t="str">
        <f aca="false">IFERROR(INDEX('Method &amp; Notes'!$B$24:$B$34,MATCH(B336,'Method &amp; Notes'!$A$24:$A$34,0)),"")</f>
        <v>Marketplaces and booking platforms</v>
      </c>
      <c r="D336" s="15" t="s">
        <v>432</v>
      </c>
      <c r="E336" s="16" t="s">
        <v>1111</v>
      </c>
      <c r="F336" s="15" t="s">
        <v>1112</v>
      </c>
    </row>
    <row r="337" customFormat="false" ht="15" hidden="false" customHeight="false" outlineLevel="0" collapsed="false">
      <c r="A337" s="15" t="s">
        <v>127</v>
      </c>
      <c r="B337" s="15" t="s">
        <v>441</v>
      </c>
      <c r="C337" s="15" t="str">
        <f aca="false">IFERROR(INDEX('Method &amp; Notes'!$B$24:$B$34,MATCH(B337,'Method &amp; Notes'!$A$24:$A$34,0)),"")</f>
        <v>Handyman business guides</v>
      </c>
      <c r="D337" s="15" t="s">
        <v>445</v>
      </c>
      <c r="E337" s="16" t="s">
        <v>1113</v>
      </c>
      <c r="F337" s="15" t="s">
        <v>1114</v>
      </c>
    </row>
    <row r="338" customFormat="false" ht="23.85" hidden="false" customHeight="false" outlineLevel="0" collapsed="false">
      <c r="A338" s="15" t="s">
        <v>127</v>
      </c>
      <c r="B338" s="15" t="s">
        <v>441</v>
      </c>
      <c r="C338" s="15" t="str">
        <f aca="false">IFERROR(INDEX('Method &amp; Notes'!$B$24:$B$34,MATCH(B338,'Method &amp; Notes'!$A$24:$A$34,0)),"")</f>
        <v>Handyman business guides</v>
      </c>
      <c r="D338" s="15" t="s">
        <v>758</v>
      </c>
      <c r="E338" s="16" t="s">
        <v>822</v>
      </c>
      <c r="F338" s="15" t="s">
        <v>1115</v>
      </c>
    </row>
    <row r="339" customFormat="false" ht="23.85" hidden="false" customHeight="false" outlineLevel="0" collapsed="false">
      <c r="A339" s="15" t="s">
        <v>127</v>
      </c>
      <c r="B339" s="15" t="s">
        <v>452</v>
      </c>
      <c r="C339" s="15" t="str">
        <f aca="false">IFERROR(INDEX('Method &amp; Notes'!$B$24:$B$34,MATCH(B339,'Method &amp; Notes'!$A$24:$A$34,0)),"")</f>
        <v>DIY and how-to interest</v>
      </c>
      <c r="D339" s="15" t="s">
        <v>1116</v>
      </c>
      <c r="E339" s="16" t="s">
        <v>1117</v>
      </c>
      <c r="F339" s="15" t="s">
        <v>1118</v>
      </c>
    </row>
    <row r="340" customFormat="false" ht="23.85" hidden="false" customHeight="false" outlineLevel="0" collapsed="false">
      <c r="A340" s="15" t="s">
        <v>127</v>
      </c>
      <c r="B340" s="15" t="s">
        <v>463</v>
      </c>
      <c r="C340" s="15" t="str">
        <f aca="false">IFERROR(INDEX('Method &amp; Notes'!$B$24:$B$34,MATCH(B340,'Method &amp; Notes'!$A$24:$A$34,0)),"")</f>
        <v>Memberships, concierge and retailer services</v>
      </c>
      <c r="D340" s="15" t="s">
        <v>947</v>
      </c>
      <c r="E340" s="16" t="s">
        <v>948</v>
      </c>
      <c r="F340" s="15" t="s">
        <v>1119</v>
      </c>
    </row>
    <row r="341" customFormat="false" ht="23.85" hidden="false" customHeight="false" outlineLevel="0" collapsed="false">
      <c r="A341" s="15" t="s">
        <v>127</v>
      </c>
      <c r="B341" s="15" t="s">
        <v>463</v>
      </c>
      <c r="C341" s="15" t="str">
        <f aca="false">IFERROR(INDEX('Method &amp; Notes'!$B$24:$B$34,MATCH(B341,'Method &amp; Notes'!$A$24:$A$34,0)),"")</f>
        <v>Memberships, concierge and retailer services</v>
      </c>
      <c r="D341" s="15" t="s">
        <v>1120</v>
      </c>
      <c r="E341" s="16" t="s">
        <v>1121</v>
      </c>
      <c r="F341" s="15" t="s">
        <v>1122</v>
      </c>
    </row>
    <row r="342" customFormat="false" ht="23.85" hidden="false" customHeight="false" outlineLevel="0" collapsed="false">
      <c r="A342" s="15" t="s">
        <v>127</v>
      </c>
      <c r="B342" s="15" t="s">
        <v>857</v>
      </c>
      <c r="C342" s="15" t="str">
        <f aca="false">IFERROR(INDEX('Method &amp; Notes'!$B$24:$B$34,MATCH(B342,'Method &amp; Notes'!$A$24:$A$34,0)),"")</f>
        <v>Extra web searches after the review pass</v>
      </c>
      <c r="D342" s="15" t="s">
        <v>858</v>
      </c>
      <c r="E342" s="16" t="s">
        <v>859</v>
      </c>
      <c r="F342" s="15" t="s">
        <v>860</v>
      </c>
    </row>
    <row r="343" customFormat="false" ht="23.85" hidden="false" customHeight="false" outlineLevel="0" collapsed="false">
      <c r="A343" s="15" t="s">
        <v>127</v>
      </c>
      <c r="B343" s="15" t="s">
        <v>467</v>
      </c>
      <c r="C343" s="15" t="str">
        <f aca="false">IFERROR(INDEX('Method &amp; Notes'!$B$24:$B$34,MATCH(B343,'Method &amp; Notes'!$A$24:$A$34,0)),"")</f>
        <v>Time, cost and scope guides</v>
      </c>
      <c r="D343" s="15" t="s">
        <v>1123</v>
      </c>
      <c r="E343" s="16" t="s">
        <v>1124</v>
      </c>
      <c r="F343" s="15" t="s">
        <v>1125</v>
      </c>
    </row>
    <row r="344" customFormat="false" ht="15" hidden="false" customHeight="false" outlineLevel="0" collapsed="false">
      <c r="A344" s="15" t="s">
        <v>127</v>
      </c>
      <c r="B344" s="15" t="s">
        <v>467</v>
      </c>
      <c r="C344" s="15" t="str">
        <f aca="false">IFERROR(INDEX('Method &amp; Notes'!$B$24:$B$34,MATCH(B344,'Method &amp; Notes'!$A$24:$A$34,0)),"")</f>
        <v>Time, cost and scope guides</v>
      </c>
      <c r="D344" s="15" t="s">
        <v>1126</v>
      </c>
      <c r="E344" s="16" t="s">
        <v>1127</v>
      </c>
      <c r="F344" s="15" t="s">
        <v>1128</v>
      </c>
    </row>
    <row r="345" customFormat="false" ht="15" hidden="false" customHeight="false" outlineLevel="0" collapsed="false">
      <c r="A345" s="15" t="s">
        <v>131</v>
      </c>
      <c r="B345" s="15" t="s">
        <v>431</v>
      </c>
      <c r="C345" s="15" t="str">
        <f aca="false">IFERROR(INDEX('Method &amp; Notes'!$B$24:$B$34,MATCH(B345,'Method &amp; Notes'!$A$24:$A$34,0)),"")</f>
        <v>Marketplaces and booking platforms</v>
      </c>
      <c r="D345" s="15" t="s">
        <v>432</v>
      </c>
      <c r="E345" s="16" t="s">
        <v>1129</v>
      </c>
      <c r="F345" s="15" t="s">
        <v>1130</v>
      </c>
    </row>
    <row r="346" customFormat="false" ht="15" hidden="false" customHeight="false" outlineLevel="0" collapsed="false">
      <c r="A346" s="15" t="s">
        <v>131</v>
      </c>
      <c r="B346" s="15" t="s">
        <v>431</v>
      </c>
      <c r="C346" s="15" t="str">
        <f aca="false">IFERROR(INDEX('Method &amp; Notes'!$B$24:$B$34,MATCH(B346,'Method &amp; Notes'!$A$24:$A$34,0)),"")</f>
        <v>Marketplaces and booking platforms</v>
      </c>
      <c r="D346" s="15" t="s">
        <v>435</v>
      </c>
      <c r="E346" s="16" t="s">
        <v>1131</v>
      </c>
      <c r="F346" s="15" t="s">
        <v>1132</v>
      </c>
    </row>
    <row r="347" customFormat="false" ht="15" hidden="false" customHeight="false" outlineLevel="0" collapsed="false">
      <c r="A347" s="15" t="s">
        <v>131</v>
      </c>
      <c r="B347" s="15" t="s">
        <v>431</v>
      </c>
      <c r="C347" s="15" t="str">
        <f aca="false">IFERROR(INDEX('Method &amp; Notes'!$B$24:$B$34,MATCH(B347,'Method &amp; Notes'!$A$24:$A$34,0)),"")</f>
        <v>Marketplaces and booking platforms</v>
      </c>
      <c r="D347" s="15" t="s">
        <v>468</v>
      </c>
      <c r="E347" s="16" t="s">
        <v>1133</v>
      </c>
      <c r="F347" s="15" t="s">
        <v>1134</v>
      </c>
    </row>
    <row r="348" customFormat="false" ht="15" hidden="false" customHeight="false" outlineLevel="0" collapsed="false">
      <c r="A348" s="15" t="s">
        <v>131</v>
      </c>
      <c r="B348" s="15" t="s">
        <v>441</v>
      </c>
      <c r="C348" s="15" t="str">
        <f aca="false">IFERROR(INDEX('Method &amp; Notes'!$B$24:$B$34,MATCH(B348,'Method &amp; Notes'!$A$24:$A$34,0)),"")</f>
        <v>Handyman business guides</v>
      </c>
      <c r="D348" s="15" t="s">
        <v>445</v>
      </c>
      <c r="E348" s="16" t="s">
        <v>1135</v>
      </c>
      <c r="F348" s="15" t="s">
        <v>1136</v>
      </c>
    </row>
    <row r="349" customFormat="false" ht="15" hidden="false" customHeight="false" outlineLevel="0" collapsed="false">
      <c r="A349" s="15" t="s">
        <v>131</v>
      </c>
      <c r="B349" s="15" t="s">
        <v>441</v>
      </c>
      <c r="C349" s="15" t="str">
        <f aca="false">IFERROR(INDEX('Method &amp; Notes'!$B$24:$B$34,MATCH(B349,'Method &amp; Notes'!$A$24:$A$34,0)),"")</f>
        <v>Handyman business guides</v>
      </c>
      <c r="D349" s="15" t="s">
        <v>843</v>
      </c>
      <c r="E349" s="16" t="s">
        <v>844</v>
      </c>
      <c r="F349" s="15" t="s">
        <v>1137</v>
      </c>
    </row>
    <row r="350" customFormat="false" ht="23.85" hidden="false" customHeight="false" outlineLevel="0" collapsed="false">
      <c r="A350" s="15" t="s">
        <v>131</v>
      </c>
      <c r="B350" s="15" t="s">
        <v>459</v>
      </c>
      <c r="C350" s="15" t="str">
        <f aca="false">IFERROR(INDEX('Method &amp; Notes'!$B$24:$B$34,MATCH(B350,'Method &amp; Notes'!$A$24:$A$34,0)),"")</f>
        <v>Rental and property maintenance requests</v>
      </c>
      <c r="D350" s="15" t="s">
        <v>1138</v>
      </c>
      <c r="E350" s="16" t="s">
        <v>1139</v>
      </c>
      <c r="F350" s="15" t="s">
        <v>1140</v>
      </c>
    </row>
    <row r="351" customFormat="false" ht="23.85" hidden="false" customHeight="false" outlineLevel="0" collapsed="false">
      <c r="A351" s="15" t="s">
        <v>131</v>
      </c>
      <c r="B351" s="15" t="s">
        <v>463</v>
      </c>
      <c r="C351" s="15" t="str">
        <f aca="false">IFERROR(INDEX('Method &amp; Notes'!$B$24:$B$34,MATCH(B351,'Method &amp; Notes'!$A$24:$A$34,0)),"")</f>
        <v>Memberships, concierge and retailer services</v>
      </c>
      <c r="D351" s="15" t="s">
        <v>1141</v>
      </c>
      <c r="E351" s="16" t="s">
        <v>1142</v>
      </c>
      <c r="F351" s="15" t="s">
        <v>1143</v>
      </c>
    </row>
    <row r="352" customFormat="false" ht="23.85" hidden="false" customHeight="false" outlineLevel="0" collapsed="false">
      <c r="A352" s="15" t="s">
        <v>131</v>
      </c>
      <c r="B352" s="15" t="s">
        <v>463</v>
      </c>
      <c r="C352" s="15" t="str">
        <f aca="false">IFERROR(INDEX('Method &amp; Notes'!$B$24:$B$34,MATCH(B352,'Method &amp; Notes'!$A$24:$A$34,0)),"")</f>
        <v>Memberships, concierge and retailer services</v>
      </c>
      <c r="D352" s="15" t="s">
        <v>1144</v>
      </c>
      <c r="E352" s="16" t="s">
        <v>1145</v>
      </c>
      <c r="F352" s="15" t="s">
        <v>1146</v>
      </c>
    </row>
    <row r="353" customFormat="false" ht="23.85" hidden="false" customHeight="false" outlineLevel="0" collapsed="false">
      <c r="A353" s="15" t="s">
        <v>131</v>
      </c>
      <c r="B353" s="15" t="s">
        <v>467</v>
      </c>
      <c r="C353" s="15" t="str">
        <f aca="false">IFERROR(INDEX('Method &amp; Notes'!$B$24:$B$34,MATCH(B353,'Method &amp; Notes'!$A$24:$A$34,0)),"")</f>
        <v>Time, cost and scope guides</v>
      </c>
      <c r="D353" s="15" t="s">
        <v>468</v>
      </c>
      <c r="E353" s="16" t="s">
        <v>1147</v>
      </c>
      <c r="F353" s="15" t="s">
        <v>1148</v>
      </c>
    </row>
    <row r="354" customFormat="false" ht="23.85" hidden="false" customHeight="false" outlineLevel="0" collapsed="false">
      <c r="A354" s="15" t="s">
        <v>131</v>
      </c>
      <c r="B354" s="15" t="s">
        <v>467</v>
      </c>
      <c r="C354" s="15" t="str">
        <f aca="false">IFERROR(INDEX('Method &amp; Notes'!$B$24:$B$34,MATCH(B354,'Method &amp; Notes'!$A$24:$A$34,0)),"")</f>
        <v>Time, cost and scope guides</v>
      </c>
      <c r="D354" s="15" t="s">
        <v>525</v>
      </c>
      <c r="E354" s="16" t="s">
        <v>1149</v>
      </c>
      <c r="F354" s="15" t="s">
        <v>1150</v>
      </c>
    </row>
    <row r="355" customFormat="false" ht="23.85" hidden="false" customHeight="false" outlineLevel="0" collapsed="false">
      <c r="A355" s="15" t="s">
        <v>135</v>
      </c>
      <c r="B355" s="15" t="s">
        <v>441</v>
      </c>
      <c r="C355" s="15" t="str">
        <f aca="false">IFERROR(INDEX('Method &amp; Notes'!$B$24:$B$34,MATCH(B355,'Method &amp; Notes'!$A$24:$A$34,0)),"")</f>
        <v>Handyman business guides</v>
      </c>
      <c r="D355" s="15" t="s">
        <v>1151</v>
      </c>
      <c r="E355" s="16" t="s">
        <v>1152</v>
      </c>
      <c r="F355" s="15" t="s">
        <v>1153</v>
      </c>
    </row>
    <row r="356" customFormat="false" ht="23.85" hidden="false" customHeight="false" outlineLevel="0" collapsed="false">
      <c r="A356" s="15" t="s">
        <v>135</v>
      </c>
      <c r="B356" s="15" t="s">
        <v>448</v>
      </c>
      <c r="C356" s="15" t="str">
        <f aca="false">IFERROR(INDEX('Method &amp; Notes'!$B$24:$B$34,MATCH(B356,'Method &amp; Notes'!$A$24:$A$34,0)),"")</f>
        <v>Warranty claims and inspections</v>
      </c>
      <c r="D356" s="15" t="s">
        <v>502</v>
      </c>
      <c r="E356" s="16" t="s">
        <v>503</v>
      </c>
      <c r="F356" s="15" t="s">
        <v>1154</v>
      </c>
    </row>
    <row r="357" customFormat="false" ht="23.85" hidden="false" customHeight="false" outlineLevel="0" collapsed="false">
      <c r="A357" s="15" t="s">
        <v>135</v>
      </c>
      <c r="B357" s="15" t="s">
        <v>448</v>
      </c>
      <c r="C357" s="15" t="str">
        <f aca="false">IFERROR(INDEX('Method &amp; Notes'!$B$24:$B$34,MATCH(B357,'Method &amp; Notes'!$A$24:$A$34,0)),"")</f>
        <v>Warranty claims and inspections</v>
      </c>
      <c r="D357" s="15" t="s">
        <v>726</v>
      </c>
      <c r="E357" s="16" t="s">
        <v>727</v>
      </c>
      <c r="F357" s="15" t="s">
        <v>1155</v>
      </c>
    </row>
    <row r="358" customFormat="false" ht="23.85" hidden="false" customHeight="false" outlineLevel="0" collapsed="false">
      <c r="A358" s="15" t="s">
        <v>135</v>
      </c>
      <c r="B358" s="15" t="s">
        <v>459</v>
      </c>
      <c r="C358" s="15" t="str">
        <f aca="false">IFERROR(INDEX('Method &amp; Notes'!$B$24:$B$34,MATCH(B358,'Method &amp; Notes'!$A$24:$A$34,0)),"")</f>
        <v>Rental and property maintenance requests</v>
      </c>
      <c r="D358" s="15" t="s">
        <v>764</v>
      </c>
      <c r="E358" s="16" t="s">
        <v>765</v>
      </c>
      <c r="F358" s="15" t="s">
        <v>1156</v>
      </c>
    </row>
    <row r="359" customFormat="false" ht="23.85" hidden="false" customHeight="false" outlineLevel="0" collapsed="false">
      <c r="A359" s="15" t="s">
        <v>135</v>
      </c>
      <c r="B359" s="15" t="s">
        <v>463</v>
      </c>
      <c r="C359" s="15" t="str">
        <f aca="false">IFERROR(INDEX('Method &amp; Notes'!$B$24:$B$34,MATCH(B359,'Method &amp; Notes'!$A$24:$A$34,0)),"")</f>
        <v>Memberships, concierge and retailer services</v>
      </c>
      <c r="D359" s="15" t="s">
        <v>1157</v>
      </c>
      <c r="E359" s="16" t="s">
        <v>1158</v>
      </c>
      <c r="F359" s="15" t="s">
        <v>1159</v>
      </c>
    </row>
    <row r="360" customFormat="false" ht="23.85" hidden="false" customHeight="false" outlineLevel="0" collapsed="false">
      <c r="A360" s="15" t="s">
        <v>135</v>
      </c>
      <c r="B360" s="15" t="s">
        <v>463</v>
      </c>
      <c r="C360" s="15" t="str">
        <f aca="false">IFERROR(INDEX('Method &amp; Notes'!$B$24:$B$34,MATCH(B360,'Method &amp; Notes'!$A$24:$A$34,0)),"")</f>
        <v>Memberships, concierge and retailer services</v>
      </c>
      <c r="D360" s="15" t="s">
        <v>740</v>
      </c>
      <c r="E360" s="16" t="s">
        <v>741</v>
      </c>
      <c r="F360" s="15" t="s">
        <v>1160</v>
      </c>
    </row>
    <row r="361" customFormat="false" ht="23.85" hidden="false" customHeight="false" outlineLevel="0" collapsed="false">
      <c r="A361" s="15" t="s">
        <v>135</v>
      </c>
      <c r="B361" s="15" t="s">
        <v>467</v>
      </c>
      <c r="C361" s="15" t="str">
        <f aca="false">IFERROR(INDEX('Method &amp; Notes'!$B$24:$B$34,MATCH(B361,'Method &amp; Notes'!$A$24:$A$34,0)),"")</f>
        <v>Time, cost and scope guides</v>
      </c>
      <c r="D361" s="15" t="s">
        <v>525</v>
      </c>
      <c r="E361" s="16" t="s">
        <v>1161</v>
      </c>
      <c r="F361" s="15" t="s">
        <v>1162</v>
      </c>
    </row>
    <row r="362" customFormat="false" ht="15" hidden="false" customHeight="false" outlineLevel="0" collapsed="false">
      <c r="A362" s="15" t="s">
        <v>135</v>
      </c>
      <c r="B362" s="15" t="s">
        <v>467</v>
      </c>
      <c r="C362" s="15" t="str">
        <f aca="false">IFERROR(INDEX('Method &amp; Notes'!$B$24:$B$34,MATCH(B362,'Method &amp; Notes'!$A$24:$A$34,0)),"")</f>
        <v>Time, cost and scope guides</v>
      </c>
      <c r="D362" s="15" t="s">
        <v>496</v>
      </c>
      <c r="E362" s="16" t="s">
        <v>1163</v>
      </c>
      <c r="F362" s="15" t="s">
        <v>1164</v>
      </c>
    </row>
    <row r="363" customFormat="false" ht="15" hidden="false" customHeight="false" outlineLevel="0" collapsed="false">
      <c r="A363" s="15" t="s">
        <v>139</v>
      </c>
      <c r="B363" s="15" t="s">
        <v>431</v>
      </c>
      <c r="C363" s="15" t="str">
        <f aca="false">IFERROR(INDEX('Method &amp; Notes'!$B$24:$B$34,MATCH(B363,'Method &amp; Notes'!$A$24:$A$34,0)),"")</f>
        <v>Marketplaces and booking platforms</v>
      </c>
      <c r="D363" s="15" t="s">
        <v>432</v>
      </c>
      <c r="E363" s="16" t="s">
        <v>1165</v>
      </c>
      <c r="F363" s="15" t="s">
        <v>1166</v>
      </c>
    </row>
    <row r="364" customFormat="false" ht="15" hidden="false" customHeight="false" outlineLevel="0" collapsed="false">
      <c r="A364" s="15" t="s">
        <v>139</v>
      </c>
      <c r="B364" s="15" t="s">
        <v>431</v>
      </c>
      <c r="C364" s="15" t="str">
        <f aca="false">IFERROR(INDEX('Method &amp; Notes'!$B$24:$B$34,MATCH(B364,'Method &amp; Notes'!$A$24:$A$34,0)),"")</f>
        <v>Marketplaces and booking platforms</v>
      </c>
      <c r="D364" s="15" t="s">
        <v>432</v>
      </c>
      <c r="E364" s="16" t="s">
        <v>883</v>
      </c>
      <c r="F364" s="15" t="s">
        <v>1167</v>
      </c>
    </row>
    <row r="365" customFormat="false" ht="15" hidden="false" customHeight="false" outlineLevel="0" collapsed="false">
      <c r="A365" s="15" t="s">
        <v>139</v>
      </c>
      <c r="B365" s="15" t="s">
        <v>441</v>
      </c>
      <c r="C365" s="15" t="str">
        <f aca="false">IFERROR(INDEX('Method &amp; Notes'!$B$24:$B$34,MATCH(B365,'Method &amp; Notes'!$A$24:$A$34,0)),"")</f>
        <v>Handyman business guides</v>
      </c>
      <c r="D365" s="15" t="s">
        <v>843</v>
      </c>
      <c r="E365" s="16" t="s">
        <v>844</v>
      </c>
      <c r="F365" s="15" t="s">
        <v>1168</v>
      </c>
    </row>
    <row r="366" customFormat="false" ht="23.85" hidden="false" customHeight="false" outlineLevel="0" collapsed="false">
      <c r="A366" s="15" t="s">
        <v>139</v>
      </c>
      <c r="B366" s="15" t="s">
        <v>463</v>
      </c>
      <c r="C366" s="15" t="str">
        <f aca="false">IFERROR(INDEX('Method &amp; Notes'!$B$24:$B$34,MATCH(B366,'Method &amp; Notes'!$A$24:$A$34,0)),"")</f>
        <v>Memberships, concierge and retailer services</v>
      </c>
      <c r="D366" s="15" t="s">
        <v>897</v>
      </c>
      <c r="E366" s="16" t="s">
        <v>898</v>
      </c>
      <c r="F366" s="15" t="s">
        <v>899</v>
      </c>
    </row>
    <row r="367" customFormat="false" ht="23.85" hidden="false" customHeight="false" outlineLevel="0" collapsed="false">
      <c r="A367" s="15" t="s">
        <v>139</v>
      </c>
      <c r="B367" s="15" t="s">
        <v>463</v>
      </c>
      <c r="C367" s="15" t="str">
        <f aca="false">IFERROR(INDEX('Method &amp; Notes'!$B$24:$B$34,MATCH(B367,'Method &amp; Notes'!$A$24:$A$34,0)),"")</f>
        <v>Memberships, concierge and retailer services</v>
      </c>
      <c r="D367" s="15" t="s">
        <v>664</v>
      </c>
      <c r="E367" s="16" t="s">
        <v>665</v>
      </c>
      <c r="F367" s="15" t="s">
        <v>1169</v>
      </c>
    </row>
    <row r="368" customFormat="false" ht="23.85" hidden="false" customHeight="false" outlineLevel="0" collapsed="false">
      <c r="A368" s="15" t="s">
        <v>139</v>
      </c>
      <c r="B368" s="15" t="s">
        <v>477</v>
      </c>
      <c r="C368" s="15" t="str">
        <f aca="false">IFERROR(INDEX('Method &amp; Notes'!$B$24:$B$34,MATCH(B368,'Method &amp; Notes'!$A$24:$A$34,0)),"")</f>
        <v>Regional, seasonal and emerging demand</v>
      </c>
      <c r="D368" s="15" t="s">
        <v>1170</v>
      </c>
      <c r="E368" s="16" t="s">
        <v>1171</v>
      </c>
      <c r="F368" s="15" t="s">
        <v>1172</v>
      </c>
    </row>
    <row r="369" customFormat="false" ht="23.85" hidden="false" customHeight="false" outlineLevel="0" collapsed="false">
      <c r="A369" s="15" t="s">
        <v>139</v>
      </c>
      <c r="B369" s="15" t="s">
        <v>477</v>
      </c>
      <c r="C369" s="15" t="str">
        <f aca="false">IFERROR(INDEX('Method &amp; Notes'!$B$24:$B$34,MATCH(B369,'Method &amp; Notes'!$A$24:$A$34,0)),"")</f>
        <v>Regional, seasonal and emerging demand</v>
      </c>
      <c r="D369" s="15" t="s">
        <v>1088</v>
      </c>
      <c r="E369" s="16" t="s">
        <v>1089</v>
      </c>
      <c r="F369" s="15" t="s">
        <v>1173</v>
      </c>
    </row>
    <row r="370" customFormat="false" ht="23.85" hidden="false" customHeight="false" outlineLevel="0" collapsed="false">
      <c r="A370" s="15" t="s">
        <v>139</v>
      </c>
      <c r="B370" s="15" t="s">
        <v>477</v>
      </c>
      <c r="C370" s="15" t="str">
        <f aca="false">IFERROR(INDEX('Method &amp; Notes'!$B$24:$B$34,MATCH(B370,'Method &amp; Notes'!$A$24:$A$34,0)),"")</f>
        <v>Regional, seasonal and emerging demand</v>
      </c>
      <c r="D370" s="15" t="s">
        <v>676</v>
      </c>
      <c r="E370" s="16" t="s">
        <v>677</v>
      </c>
      <c r="F370" s="15" t="s">
        <v>678</v>
      </c>
    </row>
    <row r="371" customFormat="false" ht="23.85" hidden="false" customHeight="false" outlineLevel="0" collapsed="false">
      <c r="A371" s="15" t="s">
        <v>139</v>
      </c>
      <c r="B371" s="15" t="s">
        <v>477</v>
      </c>
      <c r="C371" s="15" t="str">
        <f aca="false">IFERROR(INDEX('Method &amp; Notes'!$B$24:$B$34,MATCH(B371,'Method &amp; Notes'!$A$24:$A$34,0)),"")</f>
        <v>Regional, seasonal and emerging demand</v>
      </c>
      <c r="D371" s="15" t="s">
        <v>679</v>
      </c>
      <c r="E371" s="16" t="s">
        <v>680</v>
      </c>
      <c r="F371" s="15" t="s">
        <v>681</v>
      </c>
    </row>
    <row r="372" customFormat="false" ht="23.85" hidden="false" customHeight="false" outlineLevel="0" collapsed="false">
      <c r="A372" s="15" t="s">
        <v>139</v>
      </c>
      <c r="B372" s="15" t="s">
        <v>486</v>
      </c>
      <c r="C372" s="15" t="str">
        <f aca="false">IFERROR(INDEX('Method &amp; Notes'!$B$24:$B$34,MATCH(B372,'Method &amp; Notes'!$A$24:$A$34,0)),"")</f>
        <v>Search demand</v>
      </c>
      <c r="D372" s="15" t="s">
        <v>688</v>
      </c>
      <c r="E372" s="16" t="s">
        <v>689</v>
      </c>
      <c r="F372" s="15" t="s">
        <v>690</v>
      </c>
    </row>
    <row r="373" customFormat="false" ht="15" hidden="false" customHeight="false" outlineLevel="0" collapsed="false">
      <c r="A373" s="15" t="s">
        <v>143</v>
      </c>
      <c r="B373" s="15" t="s">
        <v>431</v>
      </c>
      <c r="C373" s="15" t="str">
        <f aca="false">IFERROR(INDEX('Method &amp; Notes'!$B$24:$B$34,MATCH(B373,'Method &amp; Notes'!$A$24:$A$34,0)),"")</f>
        <v>Marketplaces and booking platforms</v>
      </c>
      <c r="D373" s="15" t="s">
        <v>435</v>
      </c>
      <c r="E373" s="16" t="s">
        <v>1057</v>
      </c>
      <c r="F373" s="15" t="s">
        <v>1174</v>
      </c>
    </row>
    <row r="374" customFormat="false" ht="23.85" hidden="false" customHeight="false" outlineLevel="0" collapsed="false">
      <c r="A374" s="15" t="s">
        <v>143</v>
      </c>
      <c r="B374" s="15" t="s">
        <v>448</v>
      </c>
      <c r="C374" s="15" t="str">
        <f aca="false">IFERROR(INDEX('Method &amp; Notes'!$B$24:$B$34,MATCH(B374,'Method &amp; Notes'!$A$24:$A$34,0)),"")</f>
        <v>Warranty claims and inspections</v>
      </c>
      <c r="D374" s="15" t="s">
        <v>579</v>
      </c>
      <c r="E374" s="16" t="s">
        <v>580</v>
      </c>
      <c r="F374" s="15" t="s">
        <v>1175</v>
      </c>
    </row>
    <row r="375" customFormat="false" ht="15" hidden="false" customHeight="false" outlineLevel="0" collapsed="false">
      <c r="A375" s="15" t="s">
        <v>143</v>
      </c>
      <c r="B375" s="15" t="s">
        <v>448</v>
      </c>
      <c r="C375" s="15" t="str">
        <f aca="false">IFERROR(INDEX('Method &amp; Notes'!$B$24:$B$34,MATCH(B375,'Method &amp; Notes'!$A$24:$A$34,0)),"")</f>
        <v>Warranty claims and inspections</v>
      </c>
      <c r="D375" s="15" t="s">
        <v>545</v>
      </c>
      <c r="E375" s="16" t="s">
        <v>546</v>
      </c>
      <c r="F375" s="15" t="s">
        <v>547</v>
      </c>
    </row>
    <row r="376" customFormat="false" ht="23.85" hidden="false" customHeight="false" outlineLevel="0" collapsed="false">
      <c r="A376" s="15" t="s">
        <v>143</v>
      </c>
      <c r="B376" s="15" t="s">
        <v>452</v>
      </c>
      <c r="C376" s="15" t="str">
        <f aca="false">IFERROR(INDEX('Method &amp; Notes'!$B$24:$B$34,MATCH(B376,'Method &amp; Notes'!$A$24:$A$34,0)),"")</f>
        <v>DIY and how-to interest</v>
      </c>
      <c r="D376" s="15" t="s">
        <v>1116</v>
      </c>
      <c r="E376" s="16" t="s">
        <v>1117</v>
      </c>
      <c r="F376" s="15" t="s">
        <v>1176</v>
      </c>
    </row>
    <row r="377" customFormat="false" ht="23.85" hidden="false" customHeight="false" outlineLevel="0" collapsed="false">
      <c r="A377" s="15" t="s">
        <v>143</v>
      </c>
      <c r="B377" s="15" t="s">
        <v>459</v>
      </c>
      <c r="C377" s="15" t="str">
        <f aca="false">IFERROR(INDEX('Method &amp; Notes'!$B$24:$B$34,MATCH(B377,'Method &amp; Notes'!$A$24:$A$34,0)),"")</f>
        <v>Rental and property maintenance requests</v>
      </c>
      <c r="D377" s="15" t="s">
        <v>1043</v>
      </c>
      <c r="E377" s="16" t="s">
        <v>1044</v>
      </c>
      <c r="F377" s="15" t="s">
        <v>1177</v>
      </c>
    </row>
    <row r="378" customFormat="false" ht="23.85" hidden="false" customHeight="false" outlineLevel="0" collapsed="false">
      <c r="A378" s="15" t="s">
        <v>143</v>
      </c>
      <c r="B378" s="15" t="s">
        <v>459</v>
      </c>
      <c r="C378" s="15" t="str">
        <f aca="false">IFERROR(INDEX('Method &amp; Notes'!$B$24:$B$34,MATCH(B378,'Method &amp; Notes'!$A$24:$A$34,0)),"")</f>
        <v>Rental and property maintenance requests</v>
      </c>
      <c r="D378" s="15" t="s">
        <v>1062</v>
      </c>
      <c r="E378" s="16" t="s">
        <v>1063</v>
      </c>
      <c r="F378" s="15" t="s">
        <v>1178</v>
      </c>
    </row>
    <row r="379" customFormat="false" ht="23.85" hidden="false" customHeight="false" outlineLevel="0" collapsed="false">
      <c r="A379" s="15" t="s">
        <v>143</v>
      </c>
      <c r="B379" s="15" t="s">
        <v>459</v>
      </c>
      <c r="C379" s="15" t="str">
        <f aca="false">IFERROR(INDEX('Method &amp; Notes'!$B$24:$B$34,MATCH(B379,'Method &amp; Notes'!$A$24:$A$34,0)),"")</f>
        <v>Rental and property maintenance requests</v>
      </c>
      <c r="D379" s="15" t="s">
        <v>1065</v>
      </c>
      <c r="E379" s="16" t="s">
        <v>1066</v>
      </c>
      <c r="F379" s="15" t="s">
        <v>1179</v>
      </c>
    </row>
    <row r="380" customFormat="false" ht="23.85" hidden="false" customHeight="false" outlineLevel="0" collapsed="false">
      <c r="A380" s="15" t="s">
        <v>143</v>
      </c>
      <c r="B380" s="15" t="s">
        <v>486</v>
      </c>
      <c r="C380" s="15" t="str">
        <f aca="false">IFERROR(INDEX('Method &amp; Notes'!$B$24:$B$34,MATCH(B380,'Method &amp; Notes'!$A$24:$A$34,0)),"")</f>
        <v>Search demand</v>
      </c>
      <c r="D380" s="15" t="s">
        <v>800</v>
      </c>
      <c r="E380" s="16" t="s">
        <v>801</v>
      </c>
      <c r="F380" s="15" t="s">
        <v>1180</v>
      </c>
    </row>
    <row r="381" customFormat="false" ht="15" hidden="false" customHeight="false" outlineLevel="0" collapsed="false">
      <c r="A381" s="15" t="s">
        <v>147</v>
      </c>
      <c r="B381" s="15" t="s">
        <v>431</v>
      </c>
      <c r="C381" s="15" t="str">
        <f aca="false">IFERROR(INDEX('Method &amp; Notes'!$B$24:$B$34,MATCH(B381,'Method &amp; Notes'!$A$24:$A$34,0)),"")</f>
        <v>Marketplaces and booking platforms</v>
      </c>
      <c r="D381" s="15" t="s">
        <v>435</v>
      </c>
      <c r="E381" s="16" t="s">
        <v>721</v>
      </c>
      <c r="F381" s="15" t="s">
        <v>1091</v>
      </c>
    </row>
    <row r="382" customFormat="false" ht="23.85" hidden="false" customHeight="false" outlineLevel="0" collapsed="false">
      <c r="A382" s="15" t="s">
        <v>147</v>
      </c>
      <c r="B382" s="15" t="s">
        <v>452</v>
      </c>
      <c r="C382" s="15" t="str">
        <f aca="false">IFERROR(INDEX('Method &amp; Notes'!$B$24:$B$34,MATCH(B382,'Method &amp; Notes'!$A$24:$A$34,0)),"")</f>
        <v>DIY and how-to interest</v>
      </c>
      <c r="D382" s="15" t="s">
        <v>1181</v>
      </c>
      <c r="E382" s="16" t="s">
        <v>1182</v>
      </c>
      <c r="F382" s="15" t="s">
        <v>1183</v>
      </c>
    </row>
    <row r="383" customFormat="false" ht="23.85" hidden="false" customHeight="false" outlineLevel="0" collapsed="false">
      <c r="A383" s="15" t="s">
        <v>147</v>
      </c>
      <c r="B383" s="15" t="s">
        <v>452</v>
      </c>
      <c r="C383" s="15" t="str">
        <f aca="false">IFERROR(INDEX('Method &amp; Notes'!$B$24:$B$34,MATCH(B383,'Method &amp; Notes'!$A$24:$A$34,0)),"")</f>
        <v>DIY and how-to interest</v>
      </c>
      <c r="D383" s="15" t="s">
        <v>1093</v>
      </c>
      <c r="E383" s="16" t="s">
        <v>1094</v>
      </c>
      <c r="F383" s="15" t="s">
        <v>1184</v>
      </c>
    </row>
    <row r="384" customFormat="false" ht="23.85" hidden="false" customHeight="false" outlineLevel="0" collapsed="false">
      <c r="A384" s="15" t="s">
        <v>147</v>
      </c>
      <c r="B384" s="15" t="s">
        <v>459</v>
      </c>
      <c r="C384" s="15" t="str">
        <f aca="false">IFERROR(INDEX('Method &amp; Notes'!$B$24:$B$34,MATCH(B384,'Method &amp; Notes'!$A$24:$A$34,0)),"")</f>
        <v>Rental and property maintenance requests</v>
      </c>
      <c r="D384" s="15" t="s">
        <v>1043</v>
      </c>
      <c r="E384" s="16" t="s">
        <v>1044</v>
      </c>
      <c r="F384" s="15" t="s">
        <v>1185</v>
      </c>
    </row>
    <row r="385" customFormat="false" ht="23.85" hidden="false" customHeight="false" outlineLevel="0" collapsed="false">
      <c r="A385" s="15" t="s">
        <v>147</v>
      </c>
      <c r="B385" s="15" t="s">
        <v>459</v>
      </c>
      <c r="C385" s="15" t="str">
        <f aca="false">IFERROR(INDEX('Method &amp; Notes'!$B$24:$B$34,MATCH(B385,'Method &amp; Notes'!$A$24:$A$34,0)),"")</f>
        <v>Rental and property maintenance requests</v>
      </c>
      <c r="D385" s="15" t="s">
        <v>706</v>
      </c>
      <c r="E385" s="16" t="s">
        <v>707</v>
      </c>
      <c r="F385" s="15" t="s">
        <v>1186</v>
      </c>
    </row>
    <row r="386" customFormat="false" ht="15" hidden="false" customHeight="false" outlineLevel="0" collapsed="false">
      <c r="A386" s="15" t="s">
        <v>147</v>
      </c>
      <c r="B386" s="15" t="s">
        <v>467</v>
      </c>
      <c r="C386" s="15" t="str">
        <f aca="false">IFERROR(INDEX('Method &amp; Notes'!$B$24:$B$34,MATCH(B386,'Method &amp; Notes'!$A$24:$A$34,0)),"")</f>
        <v>Time, cost and scope guides</v>
      </c>
      <c r="D386" s="15" t="s">
        <v>1098</v>
      </c>
      <c r="E386" s="16" t="s">
        <v>1099</v>
      </c>
      <c r="F386" s="15" t="s">
        <v>1100</v>
      </c>
    </row>
    <row r="387" customFormat="false" ht="15" hidden="false" customHeight="false" outlineLevel="0" collapsed="false">
      <c r="A387" s="15" t="s">
        <v>147</v>
      </c>
      <c r="B387" s="15" t="s">
        <v>467</v>
      </c>
      <c r="C387" s="15" t="str">
        <f aca="false">IFERROR(INDEX('Method &amp; Notes'!$B$24:$B$34,MATCH(B387,'Method &amp; Notes'!$A$24:$A$34,0)),"")</f>
        <v>Time, cost and scope guides</v>
      </c>
      <c r="D387" s="15" t="s">
        <v>432</v>
      </c>
      <c r="E387" s="16" t="s">
        <v>1101</v>
      </c>
      <c r="F387" s="15" t="s">
        <v>1102</v>
      </c>
    </row>
    <row r="388" customFormat="false" ht="23.85" hidden="false" customHeight="false" outlineLevel="0" collapsed="false">
      <c r="A388" s="15" t="s">
        <v>147</v>
      </c>
      <c r="B388" s="15" t="s">
        <v>486</v>
      </c>
      <c r="C388" s="15" t="str">
        <f aca="false">IFERROR(INDEX('Method &amp; Notes'!$B$24:$B$34,MATCH(B388,'Method &amp; Notes'!$A$24:$A$34,0)),"")</f>
        <v>Search demand</v>
      </c>
      <c r="D388" s="15" t="s">
        <v>487</v>
      </c>
      <c r="E388" s="16" t="s">
        <v>488</v>
      </c>
      <c r="F388" s="15" t="s">
        <v>1187</v>
      </c>
    </row>
    <row r="389" customFormat="false" ht="23.85" hidden="false" customHeight="false" outlineLevel="0" collapsed="false">
      <c r="A389" s="15" t="s">
        <v>147</v>
      </c>
      <c r="B389" s="15" t="s">
        <v>486</v>
      </c>
      <c r="C389" s="15" t="str">
        <f aca="false">IFERROR(INDEX('Method &amp; Notes'!$B$24:$B$34,MATCH(B389,'Method &amp; Notes'!$A$24:$A$34,0)),"")</f>
        <v>Search demand</v>
      </c>
      <c r="D389" s="15" t="s">
        <v>1104</v>
      </c>
      <c r="E389" s="16" t="s">
        <v>1105</v>
      </c>
      <c r="F389" s="15" t="s">
        <v>1188</v>
      </c>
    </row>
    <row r="390" customFormat="false" ht="23.85" hidden="false" customHeight="false" outlineLevel="0" collapsed="false">
      <c r="A390" s="15" t="s">
        <v>151</v>
      </c>
      <c r="B390" s="15" t="s">
        <v>431</v>
      </c>
      <c r="C390" s="15" t="str">
        <f aca="false">IFERROR(INDEX('Method &amp; Notes'!$B$24:$B$34,MATCH(B390,'Method &amp; Notes'!$A$24:$A$34,0)),"")</f>
        <v>Marketplaces and booking platforms</v>
      </c>
      <c r="D390" s="15" t="s">
        <v>432</v>
      </c>
      <c r="E390" s="16" t="s">
        <v>1189</v>
      </c>
      <c r="F390" s="15" t="s">
        <v>1190</v>
      </c>
    </row>
    <row r="391" customFormat="false" ht="15" hidden="false" customHeight="false" outlineLevel="0" collapsed="false">
      <c r="A391" s="15" t="s">
        <v>151</v>
      </c>
      <c r="B391" s="15" t="s">
        <v>441</v>
      </c>
      <c r="C391" s="15" t="str">
        <f aca="false">IFERROR(INDEX('Method &amp; Notes'!$B$24:$B$34,MATCH(B391,'Method &amp; Notes'!$A$24:$A$34,0)),"")</f>
        <v>Handyman business guides</v>
      </c>
      <c r="D391" s="15" t="s">
        <v>886</v>
      </c>
      <c r="E391" s="16" t="s">
        <v>887</v>
      </c>
      <c r="F391" s="15" t="s">
        <v>1191</v>
      </c>
    </row>
    <row r="392" customFormat="false" ht="23.85" hidden="false" customHeight="false" outlineLevel="0" collapsed="false">
      <c r="A392" s="15" t="s">
        <v>151</v>
      </c>
      <c r="B392" s="15" t="s">
        <v>452</v>
      </c>
      <c r="C392" s="15" t="str">
        <f aca="false">IFERROR(INDEX('Method &amp; Notes'!$B$24:$B$34,MATCH(B392,'Method &amp; Notes'!$A$24:$A$34,0)),"")</f>
        <v>DIY and how-to interest</v>
      </c>
      <c r="D392" s="15" t="s">
        <v>967</v>
      </c>
      <c r="E392" s="16" t="s">
        <v>968</v>
      </c>
      <c r="F392" s="15" t="s">
        <v>1192</v>
      </c>
    </row>
    <row r="393" customFormat="false" ht="35.05" hidden="false" customHeight="false" outlineLevel="0" collapsed="false">
      <c r="A393" s="15" t="s">
        <v>151</v>
      </c>
      <c r="B393" s="15" t="s">
        <v>452</v>
      </c>
      <c r="C393" s="15" t="str">
        <f aca="false">IFERROR(INDEX('Method &amp; Notes'!$B$24:$B$34,MATCH(B393,'Method &amp; Notes'!$A$24:$A$34,0)),"")</f>
        <v>DIY and how-to interest</v>
      </c>
      <c r="D393" s="15" t="s">
        <v>731</v>
      </c>
      <c r="E393" s="16" t="s">
        <v>732</v>
      </c>
      <c r="F393" s="15" t="s">
        <v>1193</v>
      </c>
    </row>
    <row r="394" customFormat="false" ht="23.85" hidden="false" customHeight="false" outlineLevel="0" collapsed="false">
      <c r="A394" s="15" t="s">
        <v>151</v>
      </c>
      <c r="B394" s="15" t="s">
        <v>459</v>
      </c>
      <c r="C394" s="15" t="str">
        <f aca="false">IFERROR(INDEX('Method &amp; Notes'!$B$24:$B$34,MATCH(B394,'Method &amp; Notes'!$A$24:$A$34,0)),"")</f>
        <v>Rental and property maintenance requests</v>
      </c>
      <c r="D394" s="15" t="s">
        <v>706</v>
      </c>
      <c r="E394" s="16" t="s">
        <v>707</v>
      </c>
      <c r="F394" s="15" t="s">
        <v>1194</v>
      </c>
    </row>
    <row r="395" customFormat="false" ht="23.85" hidden="false" customHeight="false" outlineLevel="0" collapsed="false">
      <c r="A395" s="15" t="s">
        <v>151</v>
      </c>
      <c r="B395" s="15" t="s">
        <v>459</v>
      </c>
      <c r="C395" s="15" t="str">
        <f aca="false">IFERROR(INDEX('Method &amp; Notes'!$B$24:$B$34,MATCH(B395,'Method &amp; Notes'!$A$24:$A$34,0)),"")</f>
        <v>Rental and property maintenance requests</v>
      </c>
      <c r="D395" s="15" t="s">
        <v>1138</v>
      </c>
      <c r="E395" s="16" t="s">
        <v>1139</v>
      </c>
      <c r="F395" s="15" t="s">
        <v>1195</v>
      </c>
    </row>
    <row r="396" customFormat="false" ht="15" hidden="false" customHeight="false" outlineLevel="0" collapsed="false">
      <c r="A396" s="15" t="s">
        <v>151</v>
      </c>
      <c r="B396" s="15" t="s">
        <v>467</v>
      </c>
      <c r="C396" s="15" t="str">
        <f aca="false">IFERROR(INDEX('Method &amp; Notes'!$B$24:$B$34,MATCH(B396,'Method &amp; Notes'!$A$24:$A$34,0)),"")</f>
        <v>Time, cost and scope guides</v>
      </c>
      <c r="D396" s="15" t="s">
        <v>435</v>
      </c>
      <c r="E396" s="16" t="s">
        <v>1196</v>
      </c>
      <c r="F396" s="15" t="s">
        <v>1197</v>
      </c>
    </row>
    <row r="397" customFormat="false" ht="15" hidden="false" customHeight="false" outlineLevel="0" collapsed="false">
      <c r="A397" s="15" t="s">
        <v>155</v>
      </c>
      <c r="B397" s="15" t="s">
        <v>431</v>
      </c>
      <c r="C397" s="15" t="str">
        <f aca="false">IFERROR(INDEX('Method &amp; Notes'!$B$24:$B$34,MATCH(B397,'Method &amp; Notes'!$A$24:$A$34,0)),"")</f>
        <v>Marketplaces and booking platforms</v>
      </c>
      <c r="D397" s="15" t="s">
        <v>435</v>
      </c>
      <c r="E397" s="16" t="s">
        <v>1198</v>
      </c>
      <c r="F397" s="15" t="s">
        <v>1199</v>
      </c>
    </row>
    <row r="398" customFormat="false" ht="15" hidden="false" customHeight="false" outlineLevel="0" collapsed="false">
      <c r="A398" s="15" t="s">
        <v>155</v>
      </c>
      <c r="B398" s="15" t="s">
        <v>431</v>
      </c>
      <c r="C398" s="15" t="str">
        <f aca="false">IFERROR(INDEX('Method &amp; Notes'!$B$24:$B$34,MATCH(B398,'Method &amp; Notes'!$A$24:$A$34,0)),"")</f>
        <v>Marketplaces and booking platforms</v>
      </c>
      <c r="D398" s="15" t="s">
        <v>432</v>
      </c>
      <c r="E398" s="16" t="s">
        <v>1200</v>
      </c>
      <c r="F398" s="15" t="s">
        <v>1201</v>
      </c>
    </row>
    <row r="399" customFormat="false" ht="15" hidden="false" customHeight="false" outlineLevel="0" collapsed="false">
      <c r="A399" s="15" t="s">
        <v>155</v>
      </c>
      <c r="B399" s="15" t="s">
        <v>441</v>
      </c>
      <c r="C399" s="15" t="str">
        <f aca="false">IFERROR(INDEX('Method &amp; Notes'!$B$24:$B$34,MATCH(B399,'Method &amp; Notes'!$A$24:$A$34,0)),"")</f>
        <v>Handyman business guides</v>
      </c>
      <c r="D399" s="15" t="s">
        <v>843</v>
      </c>
      <c r="E399" s="16" t="s">
        <v>844</v>
      </c>
      <c r="F399" s="15" t="s">
        <v>1168</v>
      </c>
    </row>
    <row r="400" customFormat="false" ht="23.85" hidden="false" customHeight="false" outlineLevel="0" collapsed="false">
      <c r="A400" s="15" t="s">
        <v>155</v>
      </c>
      <c r="B400" s="15" t="s">
        <v>463</v>
      </c>
      <c r="C400" s="15" t="str">
        <f aca="false">IFERROR(INDEX('Method &amp; Notes'!$B$24:$B$34,MATCH(B400,'Method &amp; Notes'!$A$24:$A$34,0)),"")</f>
        <v>Memberships, concierge and retailer services</v>
      </c>
      <c r="D400" s="15" t="s">
        <v>1020</v>
      </c>
      <c r="E400" s="16" t="s">
        <v>1021</v>
      </c>
      <c r="F400" s="15" t="s">
        <v>1202</v>
      </c>
    </row>
    <row r="401" customFormat="false" ht="23.85" hidden="false" customHeight="false" outlineLevel="0" collapsed="false">
      <c r="A401" s="15" t="s">
        <v>155</v>
      </c>
      <c r="B401" s="15" t="s">
        <v>467</v>
      </c>
      <c r="C401" s="15" t="str">
        <f aca="false">IFERROR(INDEX('Method &amp; Notes'!$B$24:$B$34,MATCH(B401,'Method &amp; Notes'!$A$24:$A$34,0)),"")</f>
        <v>Time, cost and scope guides</v>
      </c>
      <c r="D401" s="15" t="s">
        <v>667</v>
      </c>
      <c r="E401" s="16" t="s">
        <v>668</v>
      </c>
      <c r="F401" s="15" t="s">
        <v>1203</v>
      </c>
    </row>
    <row r="402" customFormat="false" ht="15" hidden="false" customHeight="false" outlineLevel="0" collapsed="false">
      <c r="A402" s="15" t="s">
        <v>155</v>
      </c>
      <c r="B402" s="15" t="s">
        <v>467</v>
      </c>
      <c r="C402" s="15" t="str">
        <f aca="false">IFERROR(INDEX('Method &amp; Notes'!$B$24:$B$34,MATCH(B402,'Method &amp; Notes'!$A$24:$A$34,0)),"")</f>
        <v>Time, cost and scope guides</v>
      </c>
      <c r="D402" s="15" t="s">
        <v>496</v>
      </c>
      <c r="E402" s="16" t="s">
        <v>1082</v>
      </c>
      <c r="F402" s="15" t="s">
        <v>1204</v>
      </c>
    </row>
    <row r="403" customFormat="false" ht="23.85" hidden="false" customHeight="false" outlineLevel="0" collapsed="false">
      <c r="A403" s="15" t="s">
        <v>155</v>
      </c>
      <c r="B403" s="15" t="s">
        <v>486</v>
      </c>
      <c r="C403" s="15" t="str">
        <f aca="false">IFERROR(INDEX('Method &amp; Notes'!$B$24:$B$34,MATCH(B403,'Method &amp; Notes'!$A$24:$A$34,0)),"")</f>
        <v>Search demand</v>
      </c>
      <c r="D403" s="15" t="s">
        <v>688</v>
      </c>
      <c r="E403" s="16" t="s">
        <v>689</v>
      </c>
      <c r="F403" s="15" t="s">
        <v>690</v>
      </c>
    </row>
    <row r="404" customFormat="false" ht="15" hidden="false" customHeight="false" outlineLevel="0" collapsed="false">
      <c r="A404" s="15" t="s">
        <v>159</v>
      </c>
      <c r="B404" s="15" t="s">
        <v>431</v>
      </c>
      <c r="C404" s="15" t="str">
        <f aca="false">IFERROR(INDEX('Method &amp; Notes'!$B$24:$B$34,MATCH(B404,'Method &amp; Notes'!$A$24:$A$34,0)),"")</f>
        <v>Marketplaces and booking platforms</v>
      </c>
      <c r="D404" s="15" t="s">
        <v>432</v>
      </c>
      <c r="E404" s="16" t="s">
        <v>1205</v>
      </c>
      <c r="F404" s="15" t="s">
        <v>1206</v>
      </c>
    </row>
    <row r="405" customFormat="false" ht="23.85" hidden="false" customHeight="false" outlineLevel="0" collapsed="false">
      <c r="A405" s="15" t="s">
        <v>159</v>
      </c>
      <c r="B405" s="15" t="s">
        <v>448</v>
      </c>
      <c r="C405" s="15" t="str">
        <f aca="false">IFERROR(INDEX('Method &amp; Notes'!$B$24:$B$34,MATCH(B405,'Method &amp; Notes'!$A$24:$A$34,0)),"")</f>
        <v>Warranty claims and inspections</v>
      </c>
      <c r="D405" s="15" t="s">
        <v>1207</v>
      </c>
      <c r="E405" s="16" t="s">
        <v>1208</v>
      </c>
      <c r="F405" s="15" t="s">
        <v>1209</v>
      </c>
    </row>
    <row r="406" customFormat="false" ht="15" hidden="false" customHeight="false" outlineLevel="0" collapsed="false">
      <c r="A406" s="15" t="s">
        <v>159</v>
      </c>
      <c r="B406" s="15" t="s">
        <v>448</v>
      </c>
      <c r="C406" s="15" t="str">
        <f aca="false">IFERROR(INDEX('Method &amp; Notes'!$B$24:$B$34,MATCH(B406,'Method &amp; Notes'!$A$24:$A$34,0)),"")</f>
        <v>Warranty claims and inspections</v>
      </c>
      <c r="D406" s="15" t="s">
        <v>964</v>
      </c>
      <c r="E406" s="16" t="s">
        <v>965</v>
      </c>
      <c r="F406" s="15" t="s">
        <v>966</v>
      </c>
    </row>
    <row r="407" customFormat="false" ht="23.85" hidden="false" customHeight="false" outlineLevel="0" collapsed="false">
      <c r="A407" s="15" t="s">
        <v>159</v>
      </c>
      <c r="B407" s="15" t="s">
        <v>459</v>
      </c>
      <c r="C407" s="15" t="str">
        <f aca="false">IFERROR(INDEX('Method &amp; Notes'!$B$24:$B$34,MATCH(B407,'Method &amp; Notes'!$A$24:$A$34,0)),"")</f>
        <v>Rental and property maintenance requests</v>
      </c>
      <c r="D407" s="15" t="s">
        <v>737</v>
      </c>
      <c r="E407" s="16" t="s">
        <v>738</v>
      </c>
      <c r="F407" s="15" t="s">
        <v>974</v>
      </c>
    </row>
    <row r="408" customFormat="false" ht="23.85" hidden="false" customHeight="false" outlineLevel="0" collapsed="false">
      <c r="A408" s="15" t="s">
        <v>159</v>
      </c>
      <c r="B408" s="15" t="s">
        <v>459</v>
      </c>
      <c r="C408" s="15" t="str">
        <f aca="false">IFERROR(INDEX('Method &amp; Notes'!$B$24:$B$34,MATCH(B408,'Method &amp; Notes'!$A$24:$A$34,0)),"")</f>
        <v>Rental and property maintenance requests</v>
      </c>
      <c r="D408" s="15" t="s">
        <v>1062</v>
      </c>
      <c r="E408" s="16" t="s">
        <v>1063</v>
      </c>
      <c r="F408" s="15" t="s">
        <v>1210</v>
      </c>
    </row>
    <row r="409" customFormat="false" ht="15" hidden="false" customHeight="false" outlineLevel="0" collapsed="false">
      <c r="A409" s="15" t="s">
        <v>159</v>
      </c>
      <c r="B409" s="15" t="s">
        <v>467</v>
      </c>
      <c r="C409" s="15" t="str">
        <f aca="false">IFERROR(INDEX('Method &amp; Notes'!$B$24:$B$34,MATCH(B409,'Method &amp; Notes'!$A$24:$A$34,0)),"")</f>
        <v>Time, cost and scope guides</v>
      </c>
      <c r="D409" s="15" t="s">
        <v>496</v>
      </c>
      <c r="E409" s="16" t="s">
        <v>981</v>
      </c>
      <c r="F409" s="15" t="s">
        <v>1211</v>
      </c>
    </row>
    <row r="410" customFormat="false" ht="23.85" hidden="false" customHeight="false" outlineLevel="0" collapsed="false">
      <c r="A410" s="15" t="s">
        <v>159</v>
      </c>
      <c r="B410" s="15" t="s">
        <v>477</v>
      </c>
      <c r="C410" s="15" t="str">
        <f aca="false">IFERROR(INDEX('Method &amp; Notes'!$B$24:$B$34,MATCH(B410,'Method &amp; Notes'!$A$24:$A$34,0)),"")</f>
        <v>Regional, seasonal and emerging demand</v>
      </c>
      <c r="D410" s="15" t="s">
        <v>983</v>
      </c>
      <c r="E410" s="16" t="s">
        <v>984</v>
      </c>
      <c r="F410" s="15" t="s">
        <v>1212</v>
      </c>
    </row>
    <row r="411" customFormat="false" ht="15" hidden="false" customHeight="false" outlineLevel="0" collapsed="false">
      <c r="A411" s="15" t="s">
        <v>163</v>
      </c>
      <c r="B411" s="15" t="s">
        <v>431</v>
      </c>
      <c r="C411" s="15" t="str">
        <f aca="false">IFERROR(INDEX('Method &amp; Notes'!$B$24:$B$34,MATCH(B411,'Method &amp; Notes'!$A$24:$A$34,0)),"")</f>
        <v>Marketplaces and booking platforms</v>
      </c>
      <c r="D411" s="15" t="s">
        <v>435</v>
      </c>
      <c r="E411" s="16" t="s">
        <v>1036</v>
      </c>
      <c r="F411" s="15" t="s">
        <v>1213</v>
      </c>
    </row>
    <row r="412" customFormat="false" ht="23.85" hidden="false" customHeight="false" outlineLevel="0" collapsed="false">
      <c r="A412" s="15" t="s">
        <v>163</v>
      </c>
      <c r="B412" s="15" t="s">
        <v>448</v>
      </c>
      <c r="C412" s="15" t="str">
        <f aca="false">IFERROR(INDEX('Method &amp; Notes'!$B$24:$B$34,MATCH(B412,'Method &amp; Notes'!$A$24:$A$34,0)),"")</f>
        <v>Warranty claims and inspections</v>
      </c>
      <c r="D412" s="15" t="s">
        <v>579</v>
      </c>
      <c r="E412" s="16" t="s">
        <v>580</v>
      </c>
      <c r="F412" s="15" t="s">
        <v>1214</v>
      </c>
    </row>
    <row r="413" customFormat="false" ht="23.85" hidden="false" customHeight="false" outlineLevel="0" collapsed="false">
      <c r="A413" s="15" t="s">
        <v>163</v>
      </c>
      <c r="B413" s="15" t="s">
        <v>452</v>
      </c>
      <c r="C413" s="15" t="str">
        <f aca="false">IFERROR(INDEX('Method &amp; Notes'!$B$24:$B$34,MATCH(B413,'Method &amp; Notes'!$A$24:$A$34,0)),"")</f>
        <v>DIY and how-to interest</v>
      </c>
      <c r="D413" s="15" t="s">
        <v>789</v>
      </c>
      <c r="E413" s="16" t="s">
        <v>790</v>
      </c>
      <c r="F413" s="15" t="s">
        <v>1215</v>
      </c>
    </row>
    <row r="414" customFormat="false" ht="23.85" hidden="false" customHeight="false" outlineLevel="0" collapsed="false">
      <c r="A414" s="15" t="s">
        <v>163</v>
      </c>
      <c r="B414" s="15" t="s">
        <v>459</v>
      </c>
      <c r="C414" s="15" t="str">
        <f aca="false">IFERROR(INDEX('Method &amp; Notes'!$B$24:$B$34,MATCH(B414,'Method &amp; Notes'!$A$24:$A$34,0)),"")</f>
        <v>Rental and property maintenance requests</v>
      </c>
      <c r="D414" s="15" t="s">
        <v>1216</v>
      </c>
      <c r="E414" s="16" t="s">
        <v>1217</v>
      </c>
      <c r="F414" s="15" t="s">
        <v>1218</v>
      </c>
    </row>
    <row r="415" customFormat="false" ht="23.85" hidden="false" customHeight="false" outlineLevel="0" collapsed="false">
      <c r="A415" s="15" t="s">
        <v>163</v>
      </c>
      <c r="B415" s="15" t="s">
        <v>463</v>
      </c>
      <c r="C415" s="15" t="str">
        <f aca="false">IFERROR(INDEX('Method &amp; Notes'!$B$24:$B$34,MATCH(B415,'Method &amp; Notes'!$A$24:$A$34,0)),"")</f>
        <v>Memberships, concierge and retailer services</v>
      </c>
      <c r="D415" s="15" t="s">
        <v>638</v>
      </c>
      <c r="E415" s="16" t="s">
        <v>639</v>
      </c>
      <c r="F415" s="15" t="s">
        <v>1219</v>
      </c>
    </row>
    <row r="416" customFormat="false" ht="23.85" hidden="false" customHeight="false" outlineLevel="0" collapsed="false">
      <c r="A416" s="15" t="s">
        <v>163</v>
      </c>
      <c r="B416" s="15" t="s">
        <v>463</v>
      </c>
      <c r="C416" s="15" t="str">
        <f aca="false">IFERROR(INDEX('Method &amp; Notes'!$B$24:$B$34,MATCH(B416,'Method &amp; Notes'!$A$24:$A$34,0)),"")</f>
        <v>Memberships, concierge and retailer services</v>
      </c>
      <c r="D416" s="15" t="s">
        <v>1220</v>
      </c>
      <c r="E416" s="16" t="s">
        <v>1221</v>
      </c>
      <c r="F416" s="15" t="s">
        <v>1222</v>
      </c>
    </row>
    <row r="417" customFormat="false" ht="15" hidden="false" customHeight="false" outlineLevel="0" collapsed="false">
      <c r="A417" s="15" t="s">
        <v>167</v>
      </c>
      <c r="B417" s="15" t="s">
        <v>431</v>
      </c>
      <c r="C417" s="15" t="str">
        <f aca="false">IFERROR(INDEX('Method &amp; Notes'!$B$24:$B$34,MATCH(B417,'Method &amp; Notes'!$A$24:$A$34,0)),"")</f>
        <v>Marketplaces and booking platforms</v>
      </c>
      <c r="D417" s="15" t="s">
        <v>435</v>
      </c>
      <c r="E417" s="16" t="s">
        <v>1223</v>
      </c>
      <c r="F417" s="15" t="s">
        <v>1224</v>
      </c>
    </row>
    <row r="418" customFormat="false" ht="15" hidden="false" customHeight="false" outlineLevel="0" collapsed="false">
      <c r="A418" s="15" t="s">
        <v>167</v>
      </c>
      <c r="B418" s="15" t="s">
        <v>448</v>
      </c>
      <c r="C418" s="15" t="str">
        <f aca="false">IFERROR(INDEX('Method &amp; Notes'!$B$24:$B$34,MATCH(B418,'Method &amp; Notes'!$A$24:$A$34,0)),"")</f>
        <v>Warranty claims and inspections</v>
      </c>
      <c r="D418" s="15" t="s">
        <v>545</v>
      </c>
      <c r="E418" s="16" t="s">
        <v>546</v>
      </c>
      <c r="F418" s="15" t="s">
        <v>1225</v>
      </c>
    </row>
    <row r="419" customFormat="false" ht="23.85" hidden="false" customHeight="false" outlineLevel="0" collapsed="false">
      <c r="A419" s="15" t="s">
        <v>167</v>
      </c>
      <c r="B419" s="15" t="s">
        <v>448</v>
      </c>
      <c r="C419" s="15" t="str">
        <f aca="false">IFERROR(INDEX('Method &amp; Notes'!$B$24:$B$34,MATCH(B419,'Method &amp; Notes'!$A$24:$A$34,0)),"")</f>
        <v>Warranty claims and inspections</v>
      </c>
      <c r="D419" s="15" t="s">
        <v>698</v>
      </c>
      <c r="E419" s="16" t="s">
        <v>699</v>
      </c>
      <c r="F419" s="15" t="s">
        <v>1226</v>
      </c>
    </row>
    <row r="420" customFormat="false" ht="23.85" hidden="false" customHeight="false" outlineLevel="0" collapsed="false">
      <c r="A420" s="15" t="s">
        <v>167</v>
      </c>
      <c r="B420" s="15" t="s">
        <v>452</v>
      </c>
      <c r="C420" s="15" t="str">
        <f aca="false">IFERROR(INDEX('Method &amp; Notes'!$B$24:$B$34,MATCH(B420,'Method &amp; Notes'!$A$24:$A$34,0)),"")</f>
        <v>DIY and how-to interest</v>
      </c>
      <c r="D420" s="15" t="s">
        <v>971</v>
      </c>
      <c r="E420" s="16" t="s">
        <v>972</v>
      </c>
      <c r="F420" s="15" t="s">
        <v>1227</v>
      </c>
    </row>
    <row r="421" customFormat="false" ht="23.85" hidden="false" customHeight="false" outlineLevel="0" collapsed="false">
      <c r="A421" s="15" t="s">
        <v>167</v>
      </c>
      <c r="B421" s="15" t="s">
        <v>459</v>
      </c>
      <c r="C421" s="15" t="str">
        <f aca="false">IFERROR(INDEX('Method &amp; Notes'!$B$24:$B$34,MATCH(B421,'Method &amp; Notes'!$A$24:$A$34,0)),"")</f>
        <v>Rental and property maintenance requests</v>
      </c>
      <c r="D421" s="15" t="s">
        <v>1005</v>
      </c>
      <c r="E421" s="16" t="s">
        <v>1006</v>
      </c>
      <c r="F421" s="15" t="s">
        <v>1228</v>
      </c>
    </row>
    <row r="422" customFormat="false" ht="23.85" hidden="false" customHeight="false" outlineLevel="0" collapsed="false">
      <c r="A422" s="15" t="s">
        <v>167</v>
      </c>
      <c r="B422" s="15" t="s">
        <v>463</v>
      </c>
      <c r="C422" s="15" t="str">
        <f aca="false">IFERROR(INDEX('Method &amp; Notes'!$B$24:$B$34,MATCH(B422,'Method &amp; Notes'!$A$24:$A$34,0)),"")</f>
        <v>Memberships, concierge and retailer services</v>
      </c>
      <c r="D422" s="15" t="s">
        <v>1229</v>
      </c>
      <c r="E422" s="16" t="s">
        <v>1230</v>
      </c>
      <c r="F422" s="15" t="s">
        <v>1231</v>
      </c>
    </row>
    <row r="423" customFormat="false" ht="15" hidden="false" customHeight="false" outlineLevel="0" collapsed="false">
      <c r="A423" s="15" t="s">
        <v>171</v>
      </c>
      <c r="B423" s="15" t="s">
        <v>441</v>
      </c>
      <c r="C423" s="15" t="str">
        <f aca="false">IFERROR(INDEX('Method &amp; Notes'!$B$24:$B$34,MATCH(B423,'Method &amp; Notes'!$A$24:$A$34,0)),"")</f>
        <v>Handyman business guides</v>
      </c>
      <c r="D423" s="15" t="s">
        <v>619</v>
      </c>
      <c r="E423" s="16" t="s">
        <v>620</v>
      </c>
      <c r="F423" s="15" t="s">
        <v>1232</v>
      </c>
    </row>
    <row r="424" customFormat="false" ht="15" hidden="false" customHeight="false" outlineLevel="0" collapsed="false">
      <c r="A424" s="15" t="s">
        <v>171</v>
      </c>
      <c r="B424" s="15" t="s">
        <v>441</v>
      </c>
      <c r="C424" s="15" t="str">
        <f aca="false">IFERROR(INDEX('Method &amp; Notes'!$B$24:$B$34,MATCH(B424,'Method &amp; Notes'!$A$24:$A$34,0)),"")</f>
        <v>Handyman business guides</v>
      </c>
      <c r="D424" s="15" t="s">
        <v>625</v>
      </c>
      <c r="E424" s="16" t="s">
        <v>626</v>
      </c>
      <c r="F424" s="15" t="s">
        <v>627</v>
      </c>
    </row>
    <row r="425" customFormat="false" ht="15" hidden="false" customHeight="false" outlineLevel="0" collapsed="false">
      <c r="A425" s="15" t="s">
        <v>171</v>
      </c>
      <c r="B425" s="15" t="s">
        <v>448</v>
      </c>
      <c r="C425" s="15" t="str">
        <f aca="false">IFERROR(INDEX('Method &amp; Notes'!$B$24:$B$34,MATCH(B425,'Method &amp; Notes'!$A$24:$A$34,0)),"")</f>
        <v>Warranty claims and inspections</v>
      </c>
      <c r="D425" s="15" t="s">
        <v>545</v>
      </c>
      <c r="E425" s="16" t="s">
        <v>546</v>
      </c>
      <c r="F425" s="15" t="s">
        <v>1233</v>
      </c>
    </row>
    <row r="426" customFormat="false" ht="23.85" hidden="false" customHeight="false" outlineLevel="0" collapsed="false">
      <c r="A426" s="15" t="s">
        <v>171</v>
      </c>
      <c r="B426" s="15" t="s">
        <v>448</v>
      </c>
      <c r="C426" s="15" t="str">
        <f aca="false">IFERROR(INDEX('Method &amp; Notes'!$B$24:$B$34,MATCH(B426,'Method &amp; Notes'!$A$24:$A$34,0)),"")</f>
        <v>Warranty claims and inspections</v>
      </c>
      <c r="D426" s="15" t="s">
        <v>698</v>
      </c>
      <c r="E426" s="16" t="s">
        <v>699</v>
      </c>
      <c r="F426" s="15" t="s">
        <v>1234</v>
      </c>
    </row>
    <row r="427" customFormat="false" ht="15" hidden="false" customHeight="false" outlineLevel="0" collapsed="false">
      <c r="A427" s="15" t="s">
        <v>171</v>
      </c>
      <c r="B427" s="15" t="s">
        <v>448</v>
      </c>
      <c r="C427" s="15" t="str">
        <f aca="false">IFERROR(INDEX('Method &amp; Notes'!$B$24:$B$34,MATCH(B427,'Method &amp; Notes'!$A$24:$A$34,0)),"")</f>
        <v>Warranty claims and inspections</v>
      </c>
      <c r="D427" s="15" t="s">
        <v>964</v>
      </c>
      <c r="E427" s="16" t="s">
        <v>965</v>
      </c>
      <c r="F427" s="15" t="s">
        <v>1235</v>
      </c>
    </row>
    <row r="428" customFormat="false" ht="23.85" hidden="false" customHeight="false" outlineLevel="0" collapsed="false">
      <c r="A428" s="15" t="s">
        <v>171</v>
      </c>
      <c r="B428" s="15" t="s">
        <v>463</v>
      </c>
      <c r="C428" s="15" t="str">
        <f aca="false">IFERROR(INDEX('Method &amp; Notes'!$B$24:$B$34,MATCH(B428,'Method &amp; Notes'!$A$24:$A$34,0)),"")</f>
        <v>Memberships, concierge and retailer services</v>
      </c>
      <c r="D428" s="15" t="s">
        <v>1236</v>
      </c>
      <c r="E428" s="16" t="s">
        <v>1237</v>
      </c>
      <c r="F428" s="15" t="s">
        <v>1238</v>
      </c>
    </row>
    <row r="429" customFormat="false" ht="23.85" hidden="false" customHeight="false" outlineLevel="0" collapsed="false">
      <c r="A429" s="15" t="s">
        <v>171</v>
      </c>
      <c r="B429" s="15" t="s">
        <v>477</v>
      </c>
      <c r="C429" s="15" t="str">
        <f aca="false">IFERROR(INDEX('Method &amp; Notes'!$B$24:$B$34,MATCH(B429,'Method &amp; Notes'!$A$24:$A$34,0)),"")</f>
        <v>Regional, seasonal and emerging demand</v>
      </c>
      <c r="D429" s="15" t="s">
        <v>983</v>
      </c>
      <c r="E429" s="16" t="s">
        <v>984</v>
      </c>
      <c r="F429" s="15" t="s">
        <v>1239</v>
      </c>
    </row>
    <row r="430" customFormat="false" ht="23.85" hidden="false" customHeight="false" outlineLevel="0" collapsed="false">
      <c r="A430" s="15" t="s">
        <v>171</v>
      </c>
      <c r="B430" s="15" t="s">
        <v>477</v>
      </c>
      <c r="C430" s="15" t="str">
        <f aca="false">IFERROR(INDEX('Method &amp; Notes'!$B$24:$B$34,MATCH(B430,'Method &amp; Notes'!$A$24:$A$34,0)),"")</f>
        <v>Regional, seasonal and emerging demand</v>
      </c>
      <c r="D430" s="15" t="s">
        <v>986</v>
      </c>
      <c r="E430" s="16" t="s">
        <v>987</v>
      </c>
      <c r="F430" s="15" t="s">
        <v>1240</v>
      </c>
    </row>
    <row r="431" customFormat="false" ht="23.85" hidden="false" customHeight="false" outlineLevel="0" collapsed="false">
      <c r="A431" s="15" t="s">
        <v>175</v>
      </c>
      <c r="B431" s="15" t="s">
        <v>431</v>
      </c>
      <c r="C431" s="15" t="str">
        <f aca="false">IFERROR(INDEX('Method &amp; Notes'!$B$24:$B$34,MATCH(B431,'Method &amp; Notes'!$A$24:$A$34,0)),"")</f>
        <v>Marketplaces and booking platforms</v>
      </c>
      <c r="D431" s="15" t="s">
        <v>619</v>
      </c>
      <c r="E431" s="16" t="s">
        <v>620</v>
      </c>
      <c r="F431" s="15" t="s">
        <v>1241</v>
      </c>
    </row>
    <row r="432" customFormat="false" ht="15" hidden="false" customHeight="false" outlineLevel="0" collapsed="false">
      <c r="A432" s="15" t="s">
        <v>175</v>
      </c>
      <c r="B432" s="15" t="s">
        <v>431</v>
      </c>
      <c r="C432" s="15" t="str">
        <f aca="false">IFERROR(INDEX('Method &amp; Notes'!$B$24:$B$34,MATCH(B432,'Method &amp; Notes'!$A$24:$A$34,0)),"")</f>
        <v>Marketplaces and booking platforms</v>
      </c>
      <c r="D432" s="15" t="s">
        <v>468</v>
      </c>
      <c r="E432" s="16" t="s">
        <v>1133</v>
      </c>
      <c r="F432" s="15" t="s">
        <v>1242</v>
      </c>
    </row>
    <row r="433" customFormat="false" ht="15" hidden="false" customHeight="false" outlineLevel="0" collapsed="false">
      <c r="A433" s="15" t="s">
        <v>175</v>
      </c>
      <c r="B433" s="15" t="s">
        <v>431</v>
      </c>
      <c r="C433" s="15" t="str">
        <f aca="false">IFERROR(INDEX('Method &amp; Notes'!$B$24:$B$34,MATCH(B433,'Method &amp; Notes'!$A$24:$A$34,0)),"")</f>
        <v>Marketplaces and booking platforms</v>
      </c>
      <c r="D433" s="15" t="s">
        <v>941</v>
      </c>
      <c r="E433" s="16" t="s">
        <v>942</v>
      </c>
      <c r="F433" s="15" t="s">
        <v>1243</v>
      </c>
    </row>
    <row r="434" customFormat="false" ht="23.85" hidden="false" customHeight="false" outlineLevel="0" collapsed="false">
      <c r="A434" s="15" t="s">
        <v>175</v>
      </c>
      <c r="B434" s="15" t="s">
        <v>452</v>
      </c>
      <c r="C434" s="15" t="str">
        <f aca="false">IFERROR(INDEX('Method &amp; Notes'!$B$24:$B$34,MATCH(B434,'Method &amp; Notes'!$A$24:$A$34,0)),"")</f>
        <v>DIY and how-to interest</v>
      </c>
      <c r="D434" s="15" t="s">
        <v>1244</v>
      </c>
      <c r="E434" s="16" t="s">
        <v>1245</v>
      </c>
      <c r="F434" s="15" t="s">
        <v>1246</v>
      </c>
    </row>
    <row r="435" customFormat="false" ht="23.85" hidden="false" customHeight="false" outlineLevel="0" collapsed="false">
      <c r="A435" s="15" t="s">
        <v>175</v>
      </c>
      <c r="B435" s="15" t="s">
        <v>463</v>
      </c>
      <c r="C435" s="15" t="str">
        <f aca="false">IFERROR(INDEX('Method &amp; Notes'!$B$24:$B$34,MATCH(B435,'Method &amp; Notes'!$A$24:$A$34,0)),"")</f>
        <v>Memberships, concierge and retailer services</v>
      </c>
      <c r="D435" s="15" t="s">
        <v>1144</v>
      </c>
      <c r="E435" s="16" t="s">
        <v>1145</v>
      </c>
      <c r="F435" s="15" t="s">
        <v>1247</v>
      </c>
    </row>
    <row r="436" customFormat="false" ht="15" hidden="false" customHeight="false" outlineLevel="0" collapsed="false">
      <c r="A436" s="15" t="s">
        <v>175</v>
      </c>
      <c r="B436" s="15" t="s">
        <v>467</v>
      </c>
      <c r="C436" s="15" t="str">
        <f aca="false">IFERROR(INDEX('Method &amp; Notes'!$B$24:$B$34,MATCH(B436,'Method &amp; Notes'!$A$24:$A$34,0)),"")</f>
        <v>Time, cost and scope guides</v>
      </c>
      <c r="D436" s="15" t="s">
        <v>1126</v>
      </c>
      <c r="E436" s="16" t="s">
        <v>1127</v>
      </c>
      <c r="F436" s="15" t="s">
        <v>1248</v>
      </c>
    </row>
    <row r="437" customFormat="false" ht="15" hidden="false" customHeight="false" outlineLevel="0" collapsed="false">
      <c r="A437" s="15" t="s">
        <v>175</v>
      </c>
      <c r="B437" s="15" t="s">
        <v>467</v>
      </c>
      <c r="C437" s="15" t="str">
        <f aca="false">IFERROR(INDEX('Method &amp; Notes'!$B$24:$B$34,MATCH(B437,'Method &amp; Notes'!$A$24:$A$34,0)),"")</f>
        <v>Time, cost and scope guides</v>
      </c>
      <c r="D437" s="15" t="s">
        <v>941</v>
      </c>
      <c r="E437" s="16" t="s">
        <v>1249</v>
      </c>
      <c r="F437" s="15" t="s">
        <v>1250</v>
      </c>
    </row>
    <row r="438" customFormat="false" ht="15" hidden="false" customHeight="false" outlineLevel="0" collapsed="false">
      <c r="A438" s="15" t="s">
        <v>175</v>
      </c>
      <c r="B438" s="15" t="s">
        <v>467</v>
      </c>
      <c r="C438" s="15" t="str">
        <f aca="false">IFERROR(INDEX('Method &amp; Notes'!$B$24:$B$34,MATCH(B438,'Method &amp; Notes'!$A$24:$A$34,0)),"")</f>
        <v>Time, cost and scope guides</v>
      </c>
      <c r="D438" s="15" t="s">
        <v>1123</v>
      </c>
      <c r="E438" s="16" t="s">
        <v>1124</v>
      </c>
      <c r="F438" s="15" t="s">
        <v>1251</v>
      </c>
    </row>
    <row r="439" customFormat="false" ht="15" hidden="false" customHeight="false" outlineLevel="0" collapsed="false">
      <c r="A439" s="15" t="s">
        <v>175</v>
      </c>
      <c r="B439" s="15" t="s">
        <v>467</v>
      </c>
      <c r="C439" s="15" t="str">
        <f aca="false">IFERROR(INDEX('Method &amp; Notes'!$B$24:$B$34,MATCH(B439,'Method &amp; Notes'!$A$24:$A$34,0)),"")</f>
        <v>Time, cost and scope guides</v>
      </c>
      <c r="D439" s="15" t="s">
        <v>955</v>
      </c>
      <c r="E439" s="16" t="s">
        <v>956</v>
      </c>
      <c r="F439" s="15" t="s">
        <v>1252</v>
      </c>
    </row>
    <row r="440" customFormat="false" ht="23.85" hidden="false" customHeight="false" outlineLevel="0" collapsed="false">
      <c r="A440" s="15" t="s">
        <v>178</v>
      </c>
      <c r="B440" s="15" t="s">
        <v>448</v>
      </c>
      <c r="C440" s="15" t="str">
        <f aca="false">IFERROR(INDEX('Method &amp; Notes'!$B$24:$B$34,MATCH(B440,'Method &amp; Notes'!$A$24:$A$34,0)),"")</f>
        <v>Warranty claims and inspections</v>
      </c>
      <c r="D440" s="15" t="s">
        <v>545</v>
      </c>
      <c r="E440" s="16" t="s">
        <v>546</v>
      </c>
      <c r="F440" s="15" t="s">
        <v>1253</v>
      </c>
    </row>
    <row r="441" customFormat="false" ht="35.05" hidden="false" customHeight="false" outlineLevel="0" collapsed="false">
      <c r="A441" s="15" t="s">
        <v>178</v>
      </c>
      <c r="B441" s="15" t="s">
        <v>448</v>
      </c>
      <c r="C441" s="15" t="str">
        <f aca="false">IFERROR(INDEX('Method &amp; Notes'!$B$24:$B$34,MATCH(B441,'Method &amp; Notes'!$A$24:$A$34,0)),"")</f>
        <v>Warranty claims and inspections</v>
      </c>
      <c r="D441" s="15" t="s">
        <v>1254</v>
      </c>
      <c r="E441" s="16" t="s">
        <v>1255</v>
      </c>
      <c r="F441" s="15" t="s">
        <v>1256</v>
      </c>
    </row>
    <row r="442" customFormat="false" ht="23.85" hidden="false" customHeight="false" outlineLevel="0" collapsed="false">
      <c r="A442" s="15" t="s">
        <v>178</v>
      </c>
      <c r="B442" s="15" t="s">
        <v>448</v>
      </c>
      <c r="C442" s="15" t="str">
        <f aca="false">IFERROR(INDEX('Method &amp; Notes'!$B$24:$B$34,MATCH(B442,'Method &amp; Notes'!$A$24:$A$34,0)),"")</f>
        <v>Warranty claims and inspections</v>
      </c>
      <c r="D442" s="15" t="s">
        <v>1257</v>
      </c>
      <c r="E442" s="16" t="s">
        <v>1258</v>
      </c>
      <c r="F442" s="15" t="s">
        <v>1259</v>
      </c>
    </row>
    <row r="443" customFormat="false" ht="35.05" hidden="false" customHeight="false" outlineLevel="0" collapsed="false">
      <c r="A443" s="15" t="s">
        <v>178</v>
      </c>
      <c r="B443" s="15" t="s">
        <v>452</v>
      </c>
      <c r="C443" s="15" t="str">
        <f aca="false">IFERROR(INDEX('Method &amp; Notes'!$B$24:$B$34,MATCH(B443,'Method &amp; Notes'!$A$24:$A$34,0)),"")</f>
        <v>DIY and how-to interest</v>
      </c>
      <c r="D443" s="15" t="s">
        <v>1260</v>
      </c>
      <c r="E443" s="16" t="s">
        <v>1261</v>
      </c>
      <c r="F443" s="15" t="s">
        <v>1262</v>
      </c>
    </row>
    <row r="444" customFormat="false" ht="23.85" hidden="false" customHeight="false" outlineLevel="0" collapsed="false">
      <c r="A444" s="15" t="s">
        <v>178</v>
      </c>
      <c r="B444" s="15" t="s">
        <v>459</v>
      </c>
      <c r="C444" s="15" t="str">
        <f aca="false">IFERROR(INDEX('Method &amp; Notes'!$B$24:$B$34,MATCH(B444,'Method &amp; Notes'!$A$24:$A$34,0)),"")</f>
        <v>Rental and property maintenance requests</v>
      </c>
      <c r="D444" s="15" t="s">
        <v>1263</v>
      </c>
      <c r="E444" s="16" t="s">
        <v>1264</v>
      </c>
      <c r="F444" s="15" t="s">
        <v>1265</v>
      </c>
    </row>
    <row r="445" customFormat="false" ht="23.85" hidden="false" customHeight="false" outlineLevel="0" collapsed="false">
      <c r="A445" s="15" t="s">
        <v>178</v>
      </c>
      <c r="B445" s="15" t="s">
        <v>459</v>
      </c>
      <c r="C445" s="15" t="str">
        <f aca="false">IFERROR(INDEX('Method &amp; Notes'!$B$24:$B$34,MATCH(B445,'Method &amp; Notes'!$A$24:$A$34,0)),"")</f>
        <v>Rental and property maintenance requests</v>
      </c>
      <c r="D445" s="15" t="s">
        <v>737</v>
      </c>
      <c r="E445" s="16" t="s">
        <v>738</v>
      </c>
      <c r="F445" s="15" t="s">
        <v>1266</v>
      </c>
    </row>
    <row r="446" customFormat="false" ht="23.85" hidden="false" customHeight="false" outlineLevel="0" collapsed="false">
      <c r="A446" s="15" t="s">
        <v>178</v>
      </c>
      <c r="B446" s="15" t="s">
        <v>467</v>
      </c>
      <c r="C446" s="15" t="str">
        <f aca="false">IFERROR(INDEX('Method &amp; Notes'!$B$24:$B$34,MATCH(B446,'Method &amp; Notes'!$A$24:$A$34,0)),"")</f>
        <v>Time, cost and scope guides</v>
      </c>
      <c r="D446" s="15" t="s">
        <v>496</v>
      </c>
      <c r="E446" s="16" t="s">
        <v>1267</v>
      </c>
      <c r="F446" s="15" t="s">
        <v>1268</v>
      </c>
    </row>
    <row r="447" customFormat="false" ht="23.85" hidden="false" customHeight="false" outlineLevel="0" collapsed="false">
      <c r="A447" s="15" t="s">
        <v>178</v>
      </c>
      <c r="B447" s="15" t="s">
        <v>467</v>
      </c>
      <c r="C447" s="15" t="str">
        <f aca="false">IFERROR(INDEX('Method &amp; Notes'!$B$24:$B$34,MATCH(B447,'Method &amp; Notes'!$A$24:$A$34,0)),"")</f>
        <v>Time, cost and scope guides</v>
      </c>
      <c r="D447" s="15" t="s">
        <v>525</v>
      </c>
      <c r="E447" s="16" t="s">
        <v>1269</v>
      </c>
      <c r="F447" s="15" t="s">
        <v>1270</v>
      </c>
    </row>
    <row r="448" customFormat="false" ht="23.85" hidden="false" customHeight="false" outlineLevel="0" collapsed="false">
      <c r="A448" s="15" t="s">
        <v>178</v>
      </c>
      <c r="B448" s="15" t="s">
        <v>467</v>
      </c>
      <c r="C448" s="15" t="str">
        <f aca="false">IFERROR(INDEX('Method &amp; Notes'!$B$24:$B$34,MATCH(B448,'Method &amp; Notes'!$A$24:$A$34,0)),"")</f>
        <v>Time, cost and scope guides</v>
      </c>
      <c r="D448" s="15" t="s">
        <v>525</v>
      </c>
      <c r="E448" s="16" t="s">
        <v>1271</v>
      </c>
      <c r="F448" s="15" t="s">
        <v>1272</v>
      </c>
    </row>
    <row r="449" customFormat="false" ht="23.85" hidden="false" customHeight="false" outlineLevel="0" collapsed="false">
      <c r="A449" s="15" t="s">
        <v>178</v>
      </c>
      <c r="B449" s="15" t="s">
        <v>467</v>
      </c>
      <c r="C449" s="15" t="str">
        <f aca="false">IFERROR(INDEX('Method &amp; Notes'!$B$24:$B$34,MATCH(B449,'Method &amp; Notes'!$A$24:$A$34,0)),"")</f>
        <v>Time, cost and scope guides</v>
      </c>
      <c r="D449" s="15" t="s">
        <v>435</v>
      </c>
      <c r="E449" s="16" t="s">
        <v>1273</v>
      </c>
      <c r="F449" s="15" t="s">
        <v>1274</v>
      </c>
    </row>
    <row r="450" customFormat="false" ht="23.85" hidden="false" customHeight="false" outlineLevel="0" collapsed="false">
      <c r="A450" s="15" t="s">
        <v>182</v>
      </c>
      <c r="B450" s="15" t="s">
        <v>441</v>
      </c>
      <c r="C450" s="15" t="str">
        <f aca="false">IFERROR(INDEX('Method &amp; Notes'!$B$24:$B$34,MATCH(B450,'Method &amp; Notes'!$A$24:$A$34,0)),"")</f>
        <v>Handyman business guides</v>
      </c>
      <c r="D450" s="15" t="s">
        <v>843</v>
      </c>
      <c r="E450" s="16" t="s">
        <v>844</v>
      </c>
      <c r="F450" s="15" t="s">
        <v>1275</v>
      </c>
    </row>
    <row r="451" customFormat="false" ht="23.85" hidden="false" customHeight="false" outlineLevel="0" collapsed="false">
      <c r="A451" s="15" t="s">
        <v>182</v>
      </c>
      <c r="B451" s="15" t="s">
        <v>441</v>
      </c>
      <c r="C451" s="15" t="str">
        <f aca="false">IFERROR(INDEX('Method &amp; Notes'!$B$24:$B$34,MATCH(B451,'Method &amp; Notes'!$A$24:$A$34,0)),"")</f>
        <v>Handyman business guides</v>
      </c>
      <c r="D451" s="15" t="s">
        <v>622</v>
      </c>
      <c r="E451" s="16" t="s">
        <v>623</v>
      </c>
      <c r="F451" s="15" t="s">
        <v>1276</v>
      </c>
    </row>
    <row r="452" customFormat="false" ht="23.85" hidden="false" customHeight="false" outlineLevel="0" collapsed="false">
      <c r="A452" s="15" t="s">
        <v>182</v>
      </c>
      <c r="B452" s="15" t="s">
        <v>463</v>
      </c>
      <c r="C452" s="15" t="str">
        <f aca="false">IFERROR(INDEX('Method &amp; Notes'!$B$24:$B$34,MATCH(B452,'Method &amp; Notes'!$A$24:$A$34,0)),"")</f>
        <v>Memberships, concierge and retailer services</v>
      </c>
      <c r="D452" s="15" t="s">
        <v>1277</v>
      </c>
      <c r="E452" s="16" t="s">
        <v>1278</v>
      </c>
      <c r="F452" s="15" t="s">
        <v>1279</v>
      </c>
    </row>
    <row r="453" customFormat="false" ht="23.85" hidden="false" customHeight="false" outlineLevel="0" collapsed="false">
      <c r="A453" s="15" t="s">
        <v>182</v>
      </c>
      <c r="B453" s="15" t="s">
        <v>467</v>
      </c>
      <c r="C453" s="15" t="str">
        <f aca="false">IFERROR(INDEX('Method &amp; Notes'!$B$24:$B$34,MATCH(B453,'Method &amp; Notes'!$A$24:$A$34,0)),"")</f>
        <v>Time, cost and scope guides</v>
      </c>
      <c r="D453" s="15" t="s">
        <v>1280</v>
      </c>
      <c r="E453" s="16" t="s">
        <v>1281</v>
      </c>
      <c r="F453" s="15" t="s">
        <v>1282</v>
      </c>
    </row>
    <row r="454" customFormat="false" ht="23.85" hidden="false" customHeight="false" outlineLevel="0" collapsed="false">
      <c r="A454" s="15" t="s">
        <v>182</v>
      </c>
      <c r="B454" s="15" t="s">
        <v>477</v>
      </c>
      <c r="C454" s="15" t="str">
        <f aca="false">IFERROR(INDEX('Method &amp; Notes'!$B$24:$B$34,MATCH(B454,'Method &amp; Notes'!$A$24:$A$34,0)),"")</f>
        <v>Regional, seasonal and emerging demand</v>
      </c>
      <c r="D454" s="15" t="s">
        <v>1283</v>
      </c>
      <c r="E454" s="16" t="s">
        <v>1284</v>
      </c>
      <c r="F454" s="15" t="s">
        <v>1285</v>
      </c>
    </row>
    <row r="455" customFormat="false" ht="23.85" hidden="false" customHeight="false" outlineLevel="0" collapsed="false">
      <c r="A455" s="15" t="s">
        <v>182</v>
      </c>
      <c r="B455" s="15" t="s">
        <v>477</v>
      </c>
      <c r="C455" s="15" t="str">
        <f aca="false">IFERROR(INDEX('Method &amp; Notes'!$B$24:$B$34,MATCH(B455,'Method &amp; Notes'!$A$24:$A$34,0)),"")</f>
        <v>Regional, seasonal and emerging demand</v>
      </c>
      <c r="D455" s="15" t="s">
        <v>1286</v>
      </c>
      <c r="E455" s="16" t="s">
        <v>1287</v>
      </c>
      <c r="F455" s="15" t="s">
        <v>1288</v>
      </c>
    </row>
    <row r="456" customFormat="false" ht="23.85" hidden="false" customHeight="false" outlineLevel="0" collapsed="false">
      <c r="A456" s="15" t="s">
        <v>182</v>
      </c>
      <c r="B456" s="15" t="s">
        <v>477</v>
      </c>
      <c r="C456" s="15" t="str">
        <f aca="false">IFERROR(INDEX('Method &amp; Notes'!$B$24:$B$34,MATCH(B456,'Method &amp; Notes'!$A$24:$A$34,0)),"")</f>
        <v>Regional, seasonal and emerging demand</v>
      </c>
      <c r="D456" s="15" t="s">
        <v>986</v>
      </c>
      <c r="E456" s="16" t="s">
        <v>987</v>
      </c>
      <c r="F456" s="15" t="s">
        <v>1289</v>
      </c>
    </row>
    <row r="457" customFormat="false" ht="23.85" hidden="false" customHeight="false" outlineLevel="0" collapsed="false">
      <c r="A457" s="15" t="s">
        <v>182</v>
      </c>
      <c r="B457" s="15" t="s">
        <v>477</v>
      </c>
      <c r="C457" s="15" t="str">
        <f aca="false">IFERROR(INDEX('Method &amp; Notes'!$B$24:$B$34,MATCH(B457,'Method &amp; Notes'!$A$24:$A$34,0)),"")</f>
        <v>Regional, seasonal and emerging demand</v>
      </c>
      <c r="D457" s="15" t="s">
        <v>1290</v>
      </c>
      <c r="E457" s="16" t="s">
        <v>1291</v>
      </c>
      <c r="F457" s="15" t="s">
        <v>1292</v>
      </c>
    </row>
    <row r="458" customFormat="false" ht="23.85" hidden="false" customHeight="false" outlineLevel="0" collapsed="false">
      <c r="A458" s="15" t="s">
        <v>182</v>
      </c>
      <c r="B458" s="15" t="s">
        <v>477</v>
      </c>
      <c r="C458" s="15" t="str">
        <f aca="false">IFERROR(INDEX('Method &amp; Notes'!$B$24:$B$34,MATCH(B458,'Method &amp; Notes'!$A$24:$A$34,0)),"")</f>
        <v>Regional, seasonal and emerging demand</v>
      </c>
      <c r="D458" s="15" t="s">
        <v>1293</v>
      </c>
      <c r="E458" s="16" t="s">
        <v>1294</v>
      </c>
      <c r="F458" s="15" t="s">
        <v>1295</v>
      </c>
    </row>
    <row r="459" customFormat="false" ht="23.85" hidden="false" customHeight="false" outlineLevel="0" collapsed="false">
      <c r="A459" s="15" t="s">
        <v>182</v>
      </c>
      <c r="B459" s="15" t="s">
        <v>477</v>
      </c>
      <c r="C459" s="15" t="str">
        <f aca="false">IFERROR(INDEX('Method &amp; Notes'!$B$24:$B$34,MATCH(B459,'Method &amp; Notes'!$A$24:$A$34,0)),"")</f>
        <v>Regional, seasonal and emerging demand</v>
      </c>
      <c r="D459" s="15" t="s">
        <v>1283</v>
      </c>
      <c r="E459" s="16" t="s">
        <v>1284</v>
      </c>
      <c r="F459" s="15" t="s">
        <v>1296</v>
      </c>
    </row>
    <row r="460" customFormat="false" ht="23.85" hidden="false" customHeight="false" outlineLevel="0" collapsed="false">
      <c r="A460" s="15" t="s">
        <v>187</v>
      </c>
      <c r="B460" s="15" t="s">
        <v>441</v>
      </c>
      <c r="C460" s="15" t="str">
        <f aca="false">IFERROR(INDEX('Method &amp; Notes'!$B$24:$B$34,MATCH(B460,'Method &amp; Notes'!$A$24:$A$34,0)),"")</f>
        <v>Handyman business guides</v>
      </c>
      <c r="D460" s="15" t="s">
        <v>843</v>
      </c>
      <c r="E460" s="16" t="s">
        <v>844</v>
      </c>
      <c r="F460" s="15" t="s">
        <v>1297</v>
      </c>
    </row>
    <row r="461" customFormat="false" ht="23.85" hidden="false" customHeight="false" outlineLevel="0" collapsed="false">
      <c r="A461" s="15" t="s">
        <v>187</v>
      </c>
      <c r="B461" s="15" t="s">
        <v>448</v>
      </c>
      <c r="C461" s="15" t="str">
        <f aca="false">IFERROR(INDEX('Method &amp; Notes'!$B$24:$B$34,MATCH(B461,'Method &amp; Notes'!$A$24:$A$34,0)),"")</f>
        <v>Warranty claims and inspections</v>
      </c>
      <c r="D461" s="15" t="s">
        <v>1298</v>
      </c>
      <c r="E461" s="16" t="s">
        <v>1299</v>
      </c>
      <c r="F461" s="15" t="s">
        <v>1300</v>
      </c>
    </row>
    <row r="462" customFormat="false" ht="23.85" hidden="false" customHeight="false" outlineLevel="0" collapsed="false">
      <c r="A462" s="15" t="s">
        <v>187</v>
      </c>
      <c r="B462" s="15" t="s">
        <v>448</v>
      </c>
      <c r="C462" s="15" t="str">
        <f aca="false">IFERROR(INDEX('Method &amp; Notes'!$B$24:$B$34,MATCH(B462,'Method &amp; Notes'!$A$24:$A$34,0)),"")</f>
        <v>Warranty claims and inspections</v>
      </c>
      <c r="D462" s="15" t="s">
        <v>1301</v>
      </c>
      <c r="E462" s="16" t="s">
        <v>1302</v>
      </c>
      <c r="F462" s="15" t="s">
        <v>1303</v>
      </c>
    </row>
    <row r="463" customFormat="false" ht="23.85" hidden="false" customHeight="false" outlineLevel="0" collapsed="false">
      <c r="A463" s="15" t="s">
        <v>187</v>
      </c>
      <c r="B463" s="15" t="s">
        <v>448</v>
      </c>
      <c r="C463" s="15" t="str">
        <f aca="false">IFERROR(INDEX('Method &amp; Notes'!$B$24:$B$34,MATCH(B463,'Method &amp; Notes'!$A$24:$A$34,0)),"")</f>
        <v>Warranty claims and inspections</v>
      </c>
      <c r="D463" s="15" t="s">
        <v>545</v>
      </c>
      <c r="E463" s="16" t="s">
        <v>546</v>
      </c>
      <c r="F463" s="15" t="s">
        <v>1304</v>
      </c>
    </row>
    <row r="464" customFormat="false" ht="23.85" hidden="false" customHeight="false" outlineLevel="0" collapsed="false">
      <c r="A464" s="15" t="s">
        <v>187</v>
      </c>
      <c r="B464" s="15" t="s">
        <v>467</v>
      </c>
      <c r="C464" s="15" t="str">
        <f aca="false">IFERROR(INDEX('Method &amp; Notes'!$B$24:$B$34,MATCH(B464,'Method &amp; Notes'!$A$24:$A$34,0)),"")</f>
        <v>Time, cost and scope guides</v>
      </c>
      <c r="D464" s="15" t="s">
        <v>1305</v>
      </c>
      <c r="E464" s="16" t="s">
        <v>1306</v>
      </c>
      <c r="F464" s="15" t="s">
        <v>1307</v>
      </c>
    </row>
    <row r="465" customFormat="false" ht="23.85" hidden="false" customHeight="false" outlineLevel="0" collapsed="false">
      <c r="A465" s="15" t="s">
        <v>187</v>
      </c>
      <c r="B465" s="15" t="s">
        <v>477</v>
      </c>
      <c r="C465" s="15" t="str">
        <f aca="false">IFERROR(INDEX('Method &amp; Notes'!$B$24:$B$34,MATCH(B465,'Method &amp; Notes'!$A$24:$A$34,0)),"")</f>
        <v>Regional, seasonal and emerging demand</v>
      </c>
      <c r="D465" s="15" t="s">
        <v>478</v>
      </c>
      <c r="E465" s="16" t="s">
        <v>443</v>
      </c>
      <c r="F465" s="15" t="s">
        <v>1308</v>
      </c>
    </row>
    <row r="466" customFormat="false" ht="23.85" hidden="false" customHeight="false" outlineLevel="0" collapsed="false">
      <c r="A466" s="15" t="s">
        <v>187</v>
      </c>
      <c r="B466" s="15" t="s">
        <v>477</v>
      </c>
      <c r="C466" s="15" t="str">
        <f aca="false">IFERROR(INDEX('Method &amp; Notes'!$B$24:$B$34,MATCH(B466,'Method &amp; Notes'!$A$24:$A$34,0)),"")</f>
        <v>Regional, seasonal and emerging demand</v>
      </c>
      <c r="D466" s="15" t="s">
        <v>983</v>
      </c>
      <c r="E466" s="16" t="s">
        <v>984</v>
      </c>
      <c r="F466" s="15" t="s">
        <v>1309</v>
      </c>
    </row>
    <row r="467" customFormat="false" ht="23.85" hidden="false" customHeight="false" outlineLevel="0" collapsed="false">
      <c r="A467" s="15" t="s">
        <v>187</v>
      </c>
      <c r="B467" s="15" t="s">
        <v>477</v>
      </c>
      <c r="C467" s="15" t="str">
        <f aca="false">IFERROR(INDEX('Method &amp; Notes'!$B$24:$B$34,MATCH(B467,'Method &amp; Notes'!$A$24:$A$34,0)),"")</f>
        <v>Regional, seasonal and emerging demand</v>
      </c>
      <c r="D467" s="15" t="s">
        <v>483</v>
      </c>
      <c r="E467" s="16" t="s">
        <v>484</v>
      </c>
      <c r="F467" s="15" t="s">
        <v>1310</v>
      </c>
    </row>
    <row r="468" customFormat="false" ht="15" hidden="false" customHeight="false" outlineLevel="0" collapsed="false">
      <c r="A468" s="15" t="s">
        <v>191</v>
      </c>
      <c r="B468" s="15" t="s">
        <v>431</v>
      </c>
      <c r="C468" s="15" t="str">
        <f aca="false">IFERROR(INDEX('Method &amp; Notes'!$B$24:$B$34,MATCH(B468,'Method &amp; Notes'!$A$24:$A$34,0)),"")</f>
        <v>Marketplaces and booking platforms</v>
      </c>
      <c r="D468" s="15" t="s">
        <v>468</v>
      </c>
      <c r="E468" s="16" t="s">
        <v>909</v>
      </c>
      <c r="F468" s="15" t="s">
        <v>1311</v>
      </c>
    </row>
    <row r="469" customFormat="false" ht="15" hidden="false" customHeight="false" outlineLevel="0" collapsed="false">
      <c r="A469" s="15" t="s">
        <v>191</v>
      </c>
      <c r="B469" s="15" t="s">
        <v>431</v>
      </c>
      <c r="C469" s="15" t="str">
        <f aca="false">IFERROR(INDEX('Method &amp; Notes'!$B$24:$B$34,MATCH(B469,'Method &amp; Notes'!$A$24:$A$34,0)),"")</f>
        <v>Marketplaces and booking platforms</v>
      </c>
      <c r="D469" s="15" t="s">
        <v>435</v>
      </c>
      <c r="E469" s="16" t="s">
        <v>1312</v>
      </c>
      <c r="F469" s="15" t="s">
        <v>1313</v>
      </c>
    </row>
    <row r="470" customFormat="false" ht="15" hidden="false" customHeight="false" outlineLevel="0" collapsed="false">
      <c r="A470" s="15" t="s">
        <v>191</v>
      </c>
      <c r="B470" s="15" t="s">
        <v>441</v>
      </c>
      <c r="C470" s="15" t="str">
        <f aca="false">IFERROR(INDEX('Method &amp; Notes'!$B$24:$B$34,MATCH(B470,'Method &amp; Notes'!$A$24:$A$34,0)),"")</f>
        <v>Handyman business guides</v>
      </c>
      <c r="D470" s="15" t="s">
        <v>625</v>
      </c>
      <c r="E470" s="16" t="s">
        <v>655</v>
      </c>
      <c r="F470" s="15" t="s">
        <v>1314</v>
      </c>
    </row>
    <row r="471" customFormat="false" ht="23.85" hidden="false" customHeight="false" outlineLevel="0" collapsed="false">
      <c r="A471" s="15" t="s">
        <v>191</v>
      </c>
      <c r="B471" s="15" t="s">
        <v>463</v>
      </c>
      <c r="C471" s="15" t="str">
        <f aca="false">IFERROR(INDEX('Method &amp; Notes'!$B$24:$B$34,MATCH(B471,'Method &amp; Notes'!$A$24:$A$34,0)),"")</f>
        <v>Memberships, concierge and retailer services</v>
      </c>
      <c r="D471" s="15" t="s">
        <v>1315</v>
      </c>
      <c r="E471" s="16" t="s">
        <v>1316</v>
      </c>
      <c r="F471" s="15" t="s">
        <v>1317</v>
      </c>
    </row>
    <row r="472" customFormat="false" ht="23.85" hidden="false" customHeight="false" outlineLevel="0" collapsed="false">
      <c r="A472" s="15" t="s">
        <v>191</v>
      </c>
      <c r="B472" s="15" t="s">
        <v>463</v>
      </c>
      <c r="C472" s="15" t="str">
        <f aca="false">IFERROR(INDEX('Method &amp; Notes'!$B$24:$B$34,MATCH(B472,'Method &amp; Notes'!$A$24:$A$34,0)),"")</f>
        <v>Memberships, concierge and retailer services</v>
      </c>
      <c r="D472" s="15" t="s">
        <v>1318</v>
      </c>
      <c r="E472" s="16" t="s">
        <v>1319</v>
      </c>
      <c r="F472" s="15" t="s">
        <v>1320</v>
      </c>
    </row>
    <row r="473" customFormat="false" ht="15" hidden="false" customHeight="false" outlineLevel="0" collapsed="false">
      <c r="A473" s="15" t="s">
        <v>191</v>
      </c>
      <c r="B473" s="15" t="s">
        <v>467</v>
      </c>
      <c r="C473" s="15" t="str">
        <f aca="false">IFERROR(INDEX('Method &amp; Notes'!$B$24:$B$34,MATCH(B473,'Method &amp; Notes'!$A$24:$A$34,0)),"")</f>
        <v>Time, cost and scope guides</v>
      </c>
      <c r="D473" s="15" t="s">
        <v>670</v>
      </c>
      <c r="E473" s="16" t="s">
        <v>671</v>
      </c>
      <c r="F473" s="15" t="s">
        <v>1321</v>
      </c>
    </row>
    <row r="474" customFormat="false" ht="15" hidden="false" customHeight="false" outlineLevel="0" collapsed="false">
      <c r="A474" s="15" t="s">
        <v>191</v>
      </c>
      <c r="B474" s="15" t="s">
        <v>467</v>
      </c>
      <c r="C474" s="15" t="str">
        <f aca="false">IFERROR(INDEX('Method &amp; Notes'!$B$24:$B$34,MATCH(B474,'Method &amp; Notes'!$A$24:$A$34,0)),"")</f>
        <v>Time, cost and scope guides</v>
      </c>
      <c r="D474" s="15" t="s">
        <v>1322</v>
      </c>
      <c r="E474" s="16" t="s">
        <v>1323</v>
      </c>
      <c r="F474" s="15" t="s">
        <v>1324</v>
      </c>
    </row>
    <row r="475" customFormat="false" ht="23.85" hidden="false" customHeight="false" outlineLevel="0" collapsed="false">
      <c r="A475" s="15" t="s">
        <v>195</v>
      </c>
      <c r="B475" s="15" t="s">
        <v>448</v>
      </c>
      <c r="C475" s="15" t="str">
        <f aca="false">IFERROR(INDEX('Method &amp; Notes'!$B$24:$B$34,MATCH(B475,'Method &amp; Notes'!$A$24:$A$34,0)),"")</f>
        <v>Warranty claims and inspections</v>
      </c>
      <c r="D475" s="15" t="s">
        <v>1325</v>
      </c>
      <c r="E475" s="16" t="s">
        <v>1326</v>
      </c>
      <c r="F475" s="15" t="s">
        <v>1327</v>
      </c>
    </row>
    <row r="476" customFormat="false" ht="23.85" hidden="false" customHeight="false" outlineLevel="0" collapsed="false">
      <c r="A476" s="15" t="s">
        <v>195</v>
      </c>
      <c r="B476" s="15" t="s">
        <v>452</v>
      </c>
      <c r="C476" s="15" t="str">
        <f aca="false">IFERROR(INDEX('Method &amp; Notes'!$B$24:$B$34,MATCH(B476,'Method &amp; Notes'!$A$24:$A$34,0)),"")</f>
        <v>DIY and how-to interest</v>
      </c>
      <c r="D476" s="15" t="s">
        <v>702</v>
      </c>
      <c r="E476" s="16" t="s">
        <v>703</v>
      </c>
      <c r="F476" s="15" t="s">
        <v>1328</v>
      </c>
    </row>
    <row r="477" customFormat="false" ht="23.85" hidden="false" customHeight="false" outlineLevel="0" collapsed="false">
      <c r="A477" s="15" t="s">
        <v>195</v>
      </c>
      <c r="B477" s="15" t="s">
        <v>452</v>
      </c>
      <c r="C477" s="15" t="str">
        <f aca="false">IFERROR(INDEX('Method &amp; Notes'!$B$24:$B$34,MATCH(B477,'Method &amp; Notes'!$A$24:$A$34,0)),"")</f>
        <v>DIY and how-to interest</v>
      </c>
      <c r="D477" s="15" t="s">
        <v>789</v>
      </c>
      <c r="E477" s="16" t="s">
        <v>790</v>
      </c>
      <c r="F477" s="15" t="s">
        <v>1329</v>
      </c>
    </row>
    <row r="478" customFormat="false" ht="23.85" hidden="false" customHeight="false" outlineLevel="0" collapsed="false">
      <c r="A478" s="15" t="s">
        <v>195</v>
      </c>
      <c r="B478" s="15" t="s">
        <v>452</v>
      </c>
      <c r="C478" s="15" t="str">
        <f aca="false">IFERROR(INDEX('Method &amp; Notes'!$B$24:$B$34,MATCH(B478,'Method &amp; Notes'!$A$24:$A$34,0)),"")</f>
        <v>DIY and how-to interest</v>
      </c>
      <c r="D478" s="15" t="s">
        <v>967</v>
      </c>
      <c r="E478" s="16" t="s">
        <v>968</v>
      </c>
      <c r="F478" s="15" t="s">
        <v>1330</v>
      </c>
    </row>
    <row r="479" customFormat="false" ht="23.85" hidden="false" customHeight="false" outlineLevel="0" collapsed="false">
      <c r="A479" s="15" t="s">
        <v>195</v>
      </c>
      <c r="B479" s="15" t="s">
        <v>459</v>
      </c>
      <c r="C479" s="15" t="str">
        <f aca="false">IFERROR(INDEX('Method &amp; Notes'!$B$24:$B$34,MATCH(B479,'Method &amp; Notes'!$A$24:$A$34,0)),"")</f>
        <v>Rental and property maintenance requests</v>
      </c>
      <c r="D479" s="15" t="s">
        <v>592</v>
      </c>
      <c r="E479" s="16" t="s">
        <v>593</v>
      </c>
      <c r="F479" s="15" t="s">
        <v>1331</v>
      </c>
    </row>
    <row r="480" customFormat="false" ht="23.85" hidden="false" customHeight="false" outlineLevel="0" collapsed="false">
      <c r="A480" s="15" t="s">
        <v>195</v>
      </c>
      <c r="B480" s="15" t="s">
        <v>459</v>
      </c>
      <c r="C480" s="15" t="str">
        <f aca="false">IFERROR(INDEX('Method &amp; Notes'!$B$24:$B$34,MATCH(B480,'Method &amp; Notes'!$A$24:$A$34,0)),"")</f>
        <v>Rental and property maintenance requests</v>
      </c>
      <c r="D480" s="15" t="s">
        <v>1332</v>
      </c>
      <c r="E480" s="16" t="s">
        <v>1333</v>
      </c>
      <c r="F480" s="15" t="s">
        <v>1334</v>
      </c>
    </row>
    <row r="481" customFormat="false" ht="23.85" hidden="false" customHeight="false" outlineLevel="0" collapsed="false">
      <c r="A481" s="15" t="s">
        <v>195</v>
      </c>
      <c r="B481" s="15" t="s">
        <v>477</v>
      </c>
      <c r="C481" s="15" t="str">
        <f aca="false">IFERROR(INDEX('Method &amp; Notes'!$B$24:$B$34,MATCH(B481,'Method &amp; Notes'!$A$24:$A$34,0)),"")</f>
        <v>Regional, seasonal and emerging demand</v>
      </c>
      <c r="D481" s="15" t="s">
        <v>716</v>
      </c>
      <c r="E481" s="16" t="s">
        <v>717</v>
      </c>
      <c r="F481" s="15" t="s">
        <v>1335</v>
      </c>
    </row>
    <row r="482" customFormat="false" ht="23.85" hidden="false" customHeight="false" outlineLevel="0" collapsed="false">
      <c r="A482" s="15" t="s">
        <v>198</v>
      </c>
      <c r="B482" s="15" t="s">
        <v>448</v>
      </c>
      <c r="C482" s="15" t="str">
        <f aca="false">IFERROR(INDEX('Method &amp; Notes'!$B$24:$B$34,MATCH(B482,'Method &amp; Notes'!$A$24:$A$34,0)),"")</f>
        <v>Warranty claims and inspections</v>
      </c>
      <c r="D482" s="15" t="s">
        <v>449</v>
      </c>
      <c r="E482" s="16" t="s">
        <v>450</v>
      </c>
      <c r="F482" s="15" t="s">
        <v>1336</v>
      </c>
    </row>
    <row r="483" customFormat="false" ht="15" hidden="false" customHeight="false" outlineLevel="0" collapsed="false">
      <c r="A483" s="15" t="s">
        <v>198</v>
      </c>
      <c r="B483" s="15" t="s">
        <v>448</v>
      </c>
      <c r="C483" s="15" t="str">
        <f aca="false">IFERROR(INDEX('Method &amp; Notes'!$B$24:$B$34,MATCH(B483,'Method &amp; Notes'!$A$24:$A$34,0)),"")</f>
        <v>Warranty claims and inspections</v>
      </c>
      <c r="D483" s="15" t="s">
        <v>827</v>
      </c>
      <c r="E483" s="16" t="s">
        <v>828</v>
      </c>
      <c r="F483" s="15" t="s">
        <v>829</v>
      </c>
    </row>
    <row r="484" customFormat="false" ht="23.85" hidden="false" customHeight="false" outlineLevel="0" collapsed="false">
      <c r="A484" s="15" t="s">
        <v>198</v>
      </c>
      <c r="B484" s="15" t="s">
        <v>452</v>
      </c>
      <c r="C484" s="15" t="str">
        <f aca="false">IFERROR(INDEX('Method &amp; Notes'!$B$24:$B$34,MATCH(B484,'Method &amp; Notes'!$A$24:$A$34,0)),"")</f>
        <v>DIY and how-to interest</v>
      </c>
      <c r="D484" s="15" t="s">
        <v>789</v>
      </c>
      <c r="E484" s="16" t="s">
        <v>790</v>
      </c>
      <c r="F484" s="15" t="s">
        <v>1337</v>
      </c>
    </row>
    <row r="485" customFormat="false" ht="23.85" hidden="false" customHeight="false" outlineLevel="0" collapsed="false">
      <c r="A485" s="15" t="s">
        <v>198</v>
      </c>
      <c r="B485" s="15" t="s">
        <v>459</v>
      </c>
      <c r="C485" s="15" t="str">
        <f aca="false">IFERROR(INDEX('Method &amp; Notes'!$B$24:$B$34,MATCH(B485,'Method &amp; Notes'!$A$24:$A$34,0)),"")</f>
        <v>Rental and property maintenance requests</v>
      </c>
      <c r="D485" s="15" t="s">
        <v>1005</v>
      </c>
      <c r="E485" s="16" t="s">
        <v>1006</v>
      </c>
      <c r="F485" s="15" t="s">
        <v>1338</v>
      </c>
    </row>
    <row r="486" customFormat="false" ht="23.85" hidden="false" customHeight="false" outlineLevel="0" collapsed="false">
      <c r="A486" s="15" t="s">
        <v>198</v>
      </c>
      <c r="B486" s="15" t="s">
        <v>477</v>
      </c>
      <c r="C486" s="15" t="str">
        <f aca="false">IFERROR(INDEX('Method &amp; Notes'!$B$24:$B$34,MATCH(B486,'Method &amp; Notes'!$A$24:$A$34,0)),"")</f>
        <v>Regional, seasonal and emerging demand</v>
      </c>
      <c r="D486" s="15" t="s">
        <v>478</v>
      </c>
      <c r="E486" s="16" t="s">
        <v>443</v>
      </c>
      <c r="F486" s="15" t="s">
        <v>1339</v>
      </c>
    </row>
    <row r="487" customFormat="false" ht="23.85" hidden="false" customHeight="false" outlineLevel="0" collapsed="false">
      <c r="A487" s="15" t="s">
        <v>198</v>
      </c>
      <c r="B487" s="15" t="s">
        <v>477</v>
      </c>
      <c r="C487" s="15" t="str">
        <f aca="false">IFERROR(INDEX('Method &amp; Notes'!$B$24:$B$34,MATCH(B487,'Method &amp; Notes'!$A$24:$A$34,0)),"")</f>
        <v>Regional, seasonal and emerging demand</v>
      </c>
      <c r="D487" s="15" t="s">
        <v>834</v>
      </c>
      <c r="E487" s="16" t="s">
        <v>835</v>
      </c>
      <c r="F487" s="15" t="s">
        <v>1340</v>
      </c>
    </row>
    <row r="488" customFormat="false" ht="23.85" hidden="false" customHeight="false" outlineLevel="0" collapsed="false">
      <c r="A488" s="15" t="s">
        <v>198</v>
      </c>
      <c r="B488" s="15" t="s">
        <v>477</v>
      </c>
      <c r="C488" s="15" t="str">
        <f aca="false">IFERROR(INDEX('Method &amp; Notes'!$B$24:$B$34,MATCH(B488,'Method &amp; Notes'!$A$24:$A$34,0)),"")</f>
        <v>Regional, seasonal and emerging demand</v>
      </c>
      <c r="D488" s="15" t="s">
        <v>483</v>
      </c>
      <c r="E488" s="16" t="s">
        <v>484</v>
      </c>
      <c r="F488" s="15" t="s">
        <v>1341</v>
      </c>
    </row>
    <row r="489" customFormat="false" ht="15" hidden="false" customHeight="false" outlineLevel="0" collapsed="false">
      <c r="A489" s="15" t="s">
        <v>201</v>
      </c>
      <c r="B489" s="15" t="s">
        <v>431</v>
      </c>
      <c r="C489" s="15" t="str">
        <f aca="false">IFERROR(INDEX('Method &amp; Notes'!$B$24:$B$34,MATCH(B489,'Method &amp; Notes'!$A$24:$A$34,0)),"")</f>
        <v>Marketplaces and booking platforms</v>
      </c>
      <c r="D489" s="15" t="s">
        <v>652</v>
      </c>
      <c r="E489" s="16" t="s">
        <v>1342</v>
      </c>
      <c r="F489" s="15" t="s">
        <v>1343</v>
      </c>
    </row>
    <row r="490" customFormat="false" ht="35.05" hidden="false" customHeight="false" outlineLevel="0" collapsed="false">
      <c r="A490" s="15" t="s">
        <v>201</v>
      </c>
      <c r="B490" s="15" t="s">
        <v>452</v>
      </c>
      <c r="C490" s="15" t="str">
        <f aca="false">IFERROR(INDEX('Method &amp; Notes'!$B$24:$B$34,MATCH(B490,'Method &amp; Notes'!$A$24:$A$34,0)),"")</f>
        <v>DIY and how-to interest</v>
      </c>
      <c r="D490" s="15" t="s">
        <v>731</v>
      </c>
      <c r="E490" s="16" t="s">
        <v>732</v>
      </c>
      <c r="F490" s="15" t="s">
        <v>1344</v>
      </c>
    </row>
    <row r="491" customFormat="false" ht="23.85" hidden="false" customHeight="false" outlineLevel="0" collapsed="false">
      <c r="A491" s="15" t="s">
        <v>201</v>
      </c>
      <c r="B491" s="15" t="s">
        <v>459</v>
      </c>
      <c r="C491" s="15" t="str">
        <f aca="false">IFERROR(INDEX('Method &amp; Notes'!$B$24:$B$34,MATCH(B491,'Method &amp; Notes'!$A$24:$A$34,0)),"")</f>
        <v>Rental and property maintenance requests</v>
      </c>
      <c r="D491" s="15" t="s">
        <v>1345</v>
      </c>
      <c r="E491" s="16" t="s">
        <v>1346</v>
      </c>
      <c r="F491" s="15" t="s">
        <v>1347</v>
      </c>
    </row>
    <row r="492" customFormat="false" ht="15" hidden="false" customHeight="false" outlineLevel="0" collapsed="false">
      <c r="A492" s="15" t="s">
        <v>201</v>
      </c>
      <c r="B492" s="15" t="s">
        <v>467</v>
      </c>
      <c r="C492" s="15" t="str">
        <f aca="false">IFERROR(INDEX('Method &amp; Notes'!$B$24:$B$34,MATCH(B492,'Method &amp; Notes'!$A$24:$A$34,0)),"")</f>
        <v>Time, cost and scope guides</v>
      </c>
      <c r="D492" s="15" t="s">
        <v>496</v>
      </c>
      <c r="E492" s="16" t="s">
        <v>1348</v>
      </c>
      <c r="F492" s="15" t="s">
        <v>1349</v>
      </c>
    </row>
    <row r="493" customFormat="false" ht="15" hidden="false" customHeight="false" outlineLevel="0" collapsed="false">
      <c r="A493" s="15" t="s">
        <v>201</v>
      </c>
      <c r="B493" s="15" t="s">
        <v>467</v>
      </c>
      <c r="C493" s="15" t="str">
        <f aca="false">IFERROR(INDEX('Method &amp; Notes'!$B$24:$B$34,MATCH(B493,'Method &amp; Notes'!$A$24:$A$34,0)),"")</f>
        <v>Time, cost and scope guides</v>
      </c>
      <c r="D493" s="15" t="s">
        <v>525</v>
      </c>
      <c r="E493" s="16" t="s">
        <v>1350</v>
      </c>
      <c r="F493" s="15" t="s">
        <v>1351</v>
      </c>
    </row>
    <row r="494" customFormat="false" ht="23.85" hidden="false" customHeight="false" outlineLevel="0" collapsed="false">
      <c r="A494" s="15" t="s">
        <v>201</v>
      </c>
      <c r="B494" s="15" t="s">
        <v>467</v>
      </c>
      <c r="C494" s="15" t="str">
        <f aca="false">IFERROR(INDEX('Method &amp; Notes'!$B$24:$B$34,MATCH(B494,'Method &amp; Notes'!$A$24:$A$34,0)),"")</f>
        <v>Time, cost and scope guides</v>
      </c>
      <c r="D494" s="15" t="s">
        <v>432</v>
      </c>
      <c r="E494" s="16" t="s">
        <v>528</v>
      </c>
      <c r="F494" s="15" t="s">
        <v>1352</v>
      </c>
    </row>
    <row r="495" customFormat="false" ht="23.85" hidden="false" customHeight="false" outlineLevel="0" collapsed="false">
      <c r="A495" s="15" t="s">
        <v>205</v>
      </c>
      <c r="B495" s="15" t="s">
        <v>431</v>
      </c>
      <c r="C495" s="15" t="str">
        <f aca="false">IFERROR(INDEX('Method &amp; Notes'!$B$24:$B$34,MATCH(B495,'Method &amp; Notes'!$A$24:$A$34,0)),"")</f>
        <v>Marketplaces and booking platforms</v>
      </c>
      <c r="D495" s="15" t="s">
        <v>622</v>
      </c>
      <c r="E495" s="16" t="s">
        <v>623</v>
      </c>
      <c r="F495" s="15" t="s">
        <v>1353</v>
      </c>
    </row>
    <row r="496" customFormat="false" ht="23.85" hidden="false" customHeight="false" outlineLevel="0" collapsed="false">
      <c r="A496" s="15" t="s">
        <v>205</v>
      </c>
      <c r="B496" s="15" t="s">
        <v>448</v>
      </c>
      <c r="C496" s="15" t="str">
        <f aca="false">IFERROR(INDEX('Method &amp; Notes'!$B$24:$B$34,MATCH(B496,'Method &amp; Notes'!$A$24:$A$34,0)),"")</f>
        <v>Warranty claims and inspections</v>
      </c>
      <c r="D496" s="15" t="s">
        <v>576</v>
      </c>
      <c r="E496" s="16" t="s">
        <v>577</v>
      </c>
      <c r="F496" s="15" t="s">
        <v>1354</v>
      </c>
    </row>
    <row r="497" customFormat="false" ht="23.85" hidden="false" customHeight="false" outlineLevel="0" collapsed="false">
      <c r="A497" s="15" t="s">
        <v>205</v>
      </c>
      <c r="B497" s="15" t="s">
        <v>452</v>
      </c>
      <c r="C497" s="15" t="str">
        <f aca="false">IFERROR(INDEX('Method &amp; Notes'!$B$24:$B$34,MATCH(B497,'Method &amp; Notes'!$A$24:$A$34,0)),"")</f>
        <v>DIY and how-to interest</v>
      </c>
      <c r="D497" s="15" t="s">
        <v>1355</v>
      </c>
      <c r="E497" s="16" t="s">
        <v>1356</v>
      </c>
      <c r="F497" s="15" t="s">
        <v>1357</v>
      </c>
    </row>
    <row r="498" customFormat="false" ht="23.85" hidden="false" customHeight="false" outlineLevel="0" collapsed="false">
      <c r="A498" s="15" t="s">
        <v>205</v>
      </c>
      <c r="B498" s="15" t="s">
        <v>459</v>
      </c>
      <c r="C498" s="15" t="str">
        <f aca="false">IFERROR(INDEX('Method &amp; Notes'!$B$24:$B$34,MATCH(B498,'Method &amp; Notes'!$A$24:$A$34,0)),"")</f>
        <v>Rental and property maintenance requests</v>
      </c>
      <c r="D498" s="15" t="s">
        <v>592</v>
      </c>
      <c r="E498" s="16" t="s">
        <v>593</v>
      </c>
      <c r="F498" s="15" t="s">
        <v>1358</v>
      </c>
    </row>
    <row r="499" customFormat="false" ht="23.85" hidden="false" customHeight="false" outlineLevel="0" collapsed="false">
      <c r="A499" s="15" t="s">
        <v>205</v>
      </c>
      <c r="B499" s="15" t="s">
        <v>459</v>
      </c>
      <c r="C499" s="15" t="str">
        <f aca="false">IFERROR(INDEX('Method &amp; Notes'!$B$24:$B$34,MATCH(B499,'Method &amp; Notes'!$A$24:$A$34,0)),"")</f>
        <v>Rental and property maintenance requests</v>
      </c>
      <c r="D499" s="15" t="s">
        <v>764</v>
      </c>
      <c r="E499" s="16" t="s">
        <v>765</v>
      </c>
      <c r="F499" s="15" t="s">
        <v>1359</v>
      </c>
    </row>
    <row r="500" customFormat="false" ht="23.85" hidden="false" customHeight="false" outlineLevel="0" collapsed="false">
      <c r="A500" s="15" t="s">
        <v>208</v>
      </c>
      <c r="B500" s="15" t="s">
        <v>431</v>
      </c>
      <c r="C500" s="15" t="str">
        <f aca="false">IFERROR(INDEX('Method &amp; Notes'!$B$24:$B$34,MATCH(B500,'Method &amp; Notes'!$A$24:$A$34,0)),"")</f>
        <v>Marketplaces and booking platforms</v>
      </c>
      <c r="D500" s="15" t="s">
        <v>652</v>
      </c>
      <c r="E500" s="16" t="s">
        <v>1360</v>
      </c>
      <c r="F500" s="15" t="s">
        <v>1361</v>
      </c>
    </row>
    <row r="501" customFormat="false" ht="23.85" hidden="false" customHeight="false" outlineLevel="0" collapsed="false">
      <c r="A501" s="15" t="s">
        <v>208</v>
      </c>
      <c r="B501" s="15" t="s">
        <v>463</v>
      </c>
      <c r="C501" s="15" t="str">
        <f aca="false">IFERROR(INDEX('Method &amp; Notes'!$B$24:$B$34,MATCH(B501,'Method &amp; Notes'!$A$24:$A$34,0)),"")</f>
        <v>Memberships, concierge and retailer services</v>
      </c>
      <c r="D501" s="15" t="s">
        <v>1362</v>
      </c>
      <c r="E501" s="16" t="s">
        <v>1363</v>
      </c>
      <c r="F501" s="15" t="s">
        <v>1364</v>
      </c>
    </row>
    <row r="502" customFormat="false" ht="23.85" hidden="false" customHeight="false" outlineLevel="0" collapsed="false">
      <c r="A502" s="15" t="s">
        <v>208</v>
      </c>
      <c r="B502" s="15" t="s">
        <v>467</v>
      </c>
      <c r="C502" s="15" t="str">
        <f aca="false">IFERROR(INDEX('Method &amp; Notes'!$B$24:$B$34,MATCH(B502,'Method &amp; Notes'!$A$24:$A$34,0)),"")</f>
        <v>Time, cost and scope guides</v>
      </c>
      <c r="D502" s="15" t="s">
        <v>432</v>
      </c>
      <c r="E502" s="16" t="s">
        <v>864</v>
      </c>
      <c r="F502" s="15" t="s">
        <v>1365</v>
      </c>
    </row>
    <row r="503" customFormat="false" ht="23.85" hidden="false" customHeight="false" outlineLevel="0" collapsed="false">
      <c r="A503" s="15" t="s">
        <v>208</v>
      </c>
      <c r="B503" s="15" t="s">
        <v>477</v>
      </c>
      <c r="C503" s="15" t="str">
        <f aca="false">IFERROR(INDEX('Method &amp; Notes'!$B$24:$B$34,MATCH(B503,'Method &amp; Notes'!$A$24:$A$34,0)),"")</f>
        <v>Regional, seasonal and emerging demand</v>
      </c>
      <c r="D503" s="15" t="s">
        <v>870</v>
      </c>
      <c r="E503" s="16" t="s">
        <v>871</v>
      </c>
      <c r="F503" s="15" t="s">
        <v>1366</v>
      </c>
    </row>
    <row r="504" customFormat="false" ht="23.85" hidden="false" customHeight="false" outlineLevel="0" collapsed="false">
      <c r="A504" s="15" t="s">
        <v>208</v>
      </c>
      <c r="B504" s="15" t="s">
        <v>477</v>
      </c>
      <c r="C504" s="15" t="str">
        <f aca="false">IFERROR(INDEX('Method &amp; Notes'!$B$24:$B$34,MATCH(B504,'Method &amp; Notes'!$A$24:$A$34,0)),"")</f>
        <v>Regional, seasonal and emerging demand</v>
      </c>
      <c r="D504" s="15" t="s">
        <v>873</v>
      </c>
      <c r="E504" s="16" t="s">
        <v>874</v>
      </c>
      <c r="F504" s="15" t="s">
        <v>1367</v>
      </c>
    </row>
    <row r="505" customFormat="false" ht="23.85" hidden="false" customHeight="false" outlineLevel="0" collapsed="false">
      <c r="A505" s="15" t="s">
        <v>212</v>
      </c>
      <c r="B505" s="15" t="s">
        <v>463</v>
      </c>
      <c r="C505" s="15" t="str">
        <f aca="false">IFERROR(INDEX('Method &amp; Notes'!$B$24:$B$34,MATCH(B505,'Method &amp; Notes'!$A$24:$A$34,0)),"")</f>
        <v>Memberships, concierge and retailer services</v>
      </c>
      <c r="D505" s="15" t="s">
        <v>1368</v>
      </c>
      <c r="E505" s="16" t="s">
        <v>1369</v>
      </c>
      <c r="F505" s="15" t="s">
        <v>1370</v>
      </c>
    </row>
    <row r="506" customFormat="false" ht="23.85" hidden="false" customHeight="false" outlineLevel="0" collapsed="false">
      <c r="A506" s="15" t="s">
        <v>212</v>
      </c>
      <c r="B506" s="15" t="s">
        <v>463</v>
      </c>
      <c r="C506" s="15" t="str">
        <f aca="false">IFERROR(INDEX('Method &amp; Notes'!$B$24:$B$34,MATCH(B506,'Method &amp; Notes'!$A$24:$A$34,0)),"")</f>
        <v>Memberships, concierge and retailer services</v>
      </c>
      <c r="D506" s="15" t="s">
        <v>1220</v>
      </c>
      <c r="E506" s="16" t="s">
        <v>1221</v>
      </c>
      <c r="F506" s="15" t="s">
        <v>1371</v>
      </c>
    </row>
    <row r="507" customFormat="false" ht="23.85" hidden="false" customHeight="false" outlineLevel="0" collapsed="false">
      <c r="A507" s="15" t="s">
        <v>212</v>
      </c>
      <c r="B507" s="15" t="s">
        <v>463</v>
      </c>
      <c r="C507" s="15" t="str">
        <f aca="false">IFERROR(INDEX('Method &amp; Notes'!$B$24:$B$34,MATCH(B507,'Method &amp; Notes'!$A$24:$A$34,0)),"")</f>
        <v>Memberships, concierge and retailer services</v>
      </c>
      <c r="D507" s="15" t="s">
        <v>1372</v>
      </c>
      <c r="E507" s="16" t="s">
        <v>1373</v>
      </c>
      <c r="F507" s="15" t="s">
        <v>1374</v>
      </c>
    </row>
    <row r="508" customFormat="false" ht="23.85" hidden="false" customHeight="false" outlineLevel="0" collapsed="false">
      <c r="A508" s="15" t="s">
        <v>212</v>
      </c>
      <c r="B508" s="15" t="s">
        <v>467</v>
      </c>
      <c r="C508" s="15" t="str">
        <f aca="false">IFERROR(INDEX('Method &amp; Notes'!$B$24:$B$34,MATCH(B508,'Method &amp; Notes'!$A$24:$A$34,0)),"")</f>
        <v>Time, cost and scope guides</v>
      </c>
      <c r="D508" s="15" t="s">
        <v>1375</v>
      </c>
      <c r="E508" s="16" t="s">
        <v>1376</v>
      </c>
      <c r="F508" s="15" t="s">
        <v>1377</v>
      </c>
    </row>
    <row r="509" customFormat="false" ht="15" hidden="false" customHeight="false" outlineLevel="0" collapsed="false">
      <c r="A509" s="15" t="s">
        <v>212</v>
      </c>
      <c r="B509" s="15" t="s">
        <v>467</v>
      </c>
      <c r="C509" s="15" t="str">
        <f aca="false">IFERROR(INDEX('Method &amp; Notes'!$B$24:$B$34,MATCH(B509,'Method &amp; Notes'!$A$24:$A$34,0)),"")</f>
        <v>Time, cost and scope guides</v>
      </c>
      <c r="D509" s="15" t="s">
        <v>525</v>
      </c>
      <c r="E509" s="16" t="s">
        <v>1378</v>
      </c>
      <c r="F509" s="15" t="s">
        <v>1379</v>
      </c>
    </row>
    <row r="510" customFormat="false" ht="15" hidden="false" customHeight="false" outlineLevel="0" collapsed="false">
      <c r="A510" s="15" t="s">
        <v>212</v>
      </c>
      <c r="B510" s="15" t="s">
        <v>467</v>
      </c>
      <c r="C510" s="15" t="str">
        <f aca="false">IFERROR(INDEX('Method &amp; Notes'!$B$24:$B$34,MATCH(B510,'Method &amp; Notes'!$A$24:$A$34,0)),"")</f>
        <v>Time, cost and scope guides</v>
      </c>
      <c r="D510" s="15" t="s">
        <v>471</v>
      </c>
      <c r="E510" s="16" t="s">
        <v>1380</v>
      </c>
      <c r="F510" s="15" t="s">
        <v>1381</v>
      </c>
    </row>
    <row r="511" customFormat="false" ht="23.85" hidden="false" customHeight="false" outlineLevel="0" collapsed="false">
      <c r="A511" s="15" t="s">
        <v>212</v>
      </c>
      <c r="B511" s="15" t="s">
        <v>477</v>
      </c>
      <c r="C511" s="15" t="str">
        <f aca="false">IFERROR(INDEX('Method &amp; Notes'!$B$24:$B$34,MATCH(B511,'Method &amp; Notes'!$A$24:$A$34,0)),"")</f>
        <v>Regional, seasonal and emerging demand</v>
      </c>
      <c r="D511" s="15" t="s">
        <v>1382</v>
      </c>
      <c r="E511" s="16" t="s">
        <v>1383</v>
      </c>
      <c r="F511" s="15" t="s">
        <v>1384</v>
      </c>
    </row>
    <row r="512" customFormat="false" ht="23.85" hidden="false" customHeight="false" outlineLevel="0" collapsed="false">
      <c r="A512" s="15" t="s">
        <v>212</v>
      </c>
      <c r="B512" s="15" t="s">
        <v>477</v>
      </c>
      <c r="C512" s="15" t="str">
        <f aca="false">IFERROR(INDEX('Method &amp; Notes'!$B$24:$B$34,MATCH(B512,'Method &amp; Notes'!$A$24:$A$34,0)),"")</f>
        <v>Regional, seasonal and emerging demand</v>
      </c>
      <c r="D512" s="15" t="s">
        <v>1385</v>
      </c>
      <c r="E512" s="16" t="s">
        <v>1386</v>
      </c>
      <c r="F512" s="15" t="s">
        <v>1387</v>
      </c>
    </row>
    <row r="513" customFormat="false" ht="23.85" hidden="false" customHeight="false" outlineLevel="0" collapsed="false">
      <c r="A513" s="15" t="s">
        <v>212</v>
      </c>
      <c r="B513" s="15" t="s">
        <v>477</v>
      </c>
      <c r="C513" s="15" t="str">
        <f aca="false">IFERROR(INDEX('Method &amp; Notes'!$B$24:$B$34,MATCH(B513,'Method &amp; Notes'!$A$24:$A$34,0)),"")</f>
        <v>Regional, seasonal and emerging demand</v>
      </c>
      <c r="D513" s="15" t="s">
        <v>1388</v>
      </c>
      <c r="E513" s="16" t="s">
        <v>1389</v>
      </c>
      <c r="F513" s="15" t="s">
        <v>1390</v>
      </c>
    </row>
    <row r="514" customFormat="false" ht="23.85" hidden="false" customHeight="false" outlineLevel="0" collapsed="false">
      <c r="A514" s="15" t="s">
        <v>212</v>
      </c>
      <c r="B514" s="15" t="s">
        <v>477</v>
      </c>
      <c r="C514" s="15" t="str">
        <f aca="false">IFERROR(INDEX('Method &amp; Notes'!$B$24:$B$34,MATCH(B514,'Method &amp; Notes'!$A$24:$A$34,0)),"")</f>
        <v>Regional, seasonal and emerging demand</v>
      </c>
      <c r="D514" s="15" t="s">
        <v>1391</v>
      </c>
      <c r="E514" s="16" t="s">
        <v>1392</v>
      </c>
      <c r="F514" s="15" t="s">
        <v>1393</v>
      </c>
    </row>
    <row r="515" customFormat="false" ht="23.85" hidden="false" customHeight="false" outlineLevel="0" collapsed="false">
      <c r="A515" s="15" t="s">
        <v>217</v>
      </c>
      <c r="B515" s="15" t="s">
        <v>857</v>
      </c>
      <c r="C515" s="15" t="str">
        <f aca="false">IFERROR(INDEX('Method &amp; Notes'!$B$24:$B$34,MATCH(B515,'Method &amp; Notes'!$A$24:$A$34,0)),"")</f>
        <v>Extra web searches after the review pass</v>
      </c>
      <c r="D515" s="15" t="s">
        <v>496</v>
      </c>
      <c r="E515" s="16" t="s">
        <v>1394</v>
      </c>
      <c r="F515" s="15" t="s">
        <v>1395</v>
      </c>
    </row>
    <row r="516" customFormat="false" ht="23.85" hidden="false" customHeight="false" outlineLevel="0" collapsed="false">
      <c r="A516" s="15" t="s">
        <v>217</v>
      </c>
      <c r="B516" s="15" t="s">
        <v>857</v>
      </c>
      <c r="C516" s="15" t="str">
        <f aca="false">IFERROR(INDEX('Method &amp; Notes'!$B$24:$B$34,MATCH(B516,'Method &amp; Notes'!$A$24:$A$34,0)),"")</f>
        <v>Extra web searches after the review pass</v>
      </c>
      <c r="D516" s="15" t="s">
        <v>1396</v>
      </c>
      <c r="E516" s="16" t="s">
        <v>1397</v>
      </c>
      <c r="F516" s="15" t="s">
        <v>1398</v>
      </c>
    </row>
    <row r="517" customFormat="false" ht="23.85" hidden="false" customHeight="false" outlineLevel="0" collapsed="false">
      <c r="A517" s="15" t="s">
        <v>217</v>
      </c>
      <c r="B517" s="15" t="s">
        <v>857</v>
      </c>
      <c r="C517" s="15" t="str">
        <f aca="false">IFERROR(INDEX('Method &amp; Notes'!$B$24:$B$34,MATCH(B517,'Method &amp; Notes'!$A$24:$A$34,0)),"")</f>
        <v>Extra web searches after the review pass</v>
      </c>
      <c r="D517" s="15" t="s">
        <v>1399</v>
      </c>
      <c r="E517" s="16" t="s">
        <v>1400</v>
      </c>
      <c r="F517" s="15" t="s">
        <v>1401</v>
      </c>
    </row>
    <row r="518" customFormat="false" ht="23.85" hidden="false" customHeight="false" outlineLevel="0" collapsed="false">
      <c r="A518" s="15" t="s">
        <v>217</v>
      </c>
      <c r="B518" s="15" t="s">
        <v>467</v>
      </c>
      <c r="C518" s="15" t="str">
        <f aca="false">IFERROR(INDEX('Method &amp; Notes'!$B$24:$B$34,MATCH(B518,'Method &amp; Notes'!$A$24:$A$34,0)),"")</f>
        <v>Time, cost and scope guides</v>
      </c>
      <c r="D518" s="15" t="s">
        <v>525</v>
      </c>
      <c r="E518" s="16" t="s">
        <v>1402</v>
      </c>
      <c r="F518" s="15" t="s">
        <v>1403</v>
      </c>
    </row>
    <row r="519" customFormat="false" ht="23.85" hidden="false" customHeight="false" outlineLevel="0" collapsed="false">
      <c r="A519" s="15" t="s">
        <v>217</v>
      </c>
      <c r="B519" s="15" t="s">
        <v>467</v>
      </c>
      <c r="C519" s="15" t="str">
        <f aca="false">IFERROR(INDEX('Method &amp; Notes'!$B$24:$B$34,MATCH(B519,'Method &amp; Notes'!$A$24:$A$34,0)),"")</f>
        <v>Time, cost and scope guides</v>
      </c>
      <c r="D519" s="15" t="s">
        <v>471</v>
      </c>
      <c r="E519" s="16" t="s">
        <v>1404</v>
      </c>
      <c r="F519" s="15" t="s">
        <v>1405</v>
      </c>
    </row>
    <row r="520" customFormat="false" ht="23.85" hidden="false" customHeight="false" outlineLevel="0" collapsed="false">
      <c r="A520" s="15" t="s">
        <v>217</v>
      </c>
      <c r="B520" s="15" t="s">
        <v>467</v>
      </c>
      <c r="C520" s="15" t="str">
        <f aca="false">IFERROR(INDEX('Method &amp; Notes'!$B$24:$B$34,MATCH(B520,'Method &amp; Notes'!$A$24:$A$34,0)),"")</f>
        <v>Time, cost and scope guides</v>
      </c>
      <c r="D520" s="15" t="s">
        <v>435</v>
      </c>
      <c r="E520" s="16" t="s">
        <v>1406</v>
      </c>
      <c r="F520" s="15" t="s">
        <v>1407</v>
      </c>
    </row>
    <row r="521" customFormat="false" ht="23.85" hidden="false" customHeight="false" outlineLevel="0" collapsed="false">
      <c r="A521" s="15" t="s">
        <v>217</v>
      </c>
      <c r="B521" s="15" t="s">
        <v>477</v>
      </c>
      <c r="C521" s="15" t="str">
        <f aca="false">IFERROR(INDEX('Method &amp; Notes'!$B$24:$B$34,MATCH(B521,'Method &amp; Notes'!$A$24:$A$34,0)),"")</f>
        <v>Regional, seasonal and emerging demand</v>
      </c>
      <c r="D521" s="15" t="s">
        <v>1408</v>
      </c>
      <c r="E521" s="16" t="s">
        <v>1409</v>
      </c>
      <c r="F521" s="15" t="s">
        <v>1410</v>
      </c>
    </row>
    <row r="522" customFormat="false" ht="23.85" hidden="false" customHeight="false" outlineLevel="0" collapsed="false">
      <c r="A522" s="15" t="s">
        <v>217</v>
      </c>
      <c r="B522" s="15" t="s">
        <v>477</v>
      </c>
      <c r="C522" s="15" t="str">
        <f aca="false">IFERROR(INDEX('Method &amp; Notes'!$B$24:$B$34,MATCH(B522,'Method &amp; Notes'!$A$24:$A$34,0)),"")</f>
        <v>Regional, seasonal and emerging demand</v>
      </c>
      <c r="D522" s="15" t="s">
        <v>1411</v>
      </c>
      <c r="E522" s="16" t="s">
        <v>1412</v>
      </c>
      <c r="F522" s="15" t="s">
        <v>1413</v>
      </c>
    </row>
    <row r="523" customFormat="false" ht="23.85" hidden="false" customHeight="false" outlineLevel="0" collapsed="false">
      <c r="A523" s="15" t="s">
        <v>217</v>
      </c>
      <c r="B523" s="15" t="s">
        <v>477</v>
      </c>
      <c r="C523" s="15" t="str">
        <f aca="false">IFERROR(INDEX('Method &amp; Notes'!$B$24:$B$34,MATCH(B523,'Method &amp; Notes'!$A$24:$A$34,0)),"")</f>
        <v>Regional, seasonal and emerging demand</v>
      </c>
      <c r="D523" s="15" t="s">
        <v>1414</v>
      </c>
      <c r="E523" s="16" t="s">
        <v>1415</v>
      </c>
      <c r="F523" s="15" t="s">
        <v>1416</v>
      </c>
    </row>
    <row r="524" customFormat="false" ht="23.85" hidden="false" customHeight="false" outlineLevel="0" collapsed="false">
      <c r="A524" s="15" t="s">
        <v>217</v>
      </c>
      <c r="B524" s="15" t="s">
        <v>486</v>
      </c>
      <c r="C524" s="15" t="str">
        <f aca="false">IFERROR(INDEX('Method &amp; Notes'!$B$24:$B$34,MATCH(B524,'Method &amp; Notes'!$A$24:$A$34,0)),"")</f>
        <v>Search demand</v>
      </c>
      <c r="D524" s="15" t="s">
        <v>936</v>
      </c>
      <c r="E524" s="16" t="s">
        <v>937</v>
      </c>
      <c r="F524" s="15" t="s">
        <v>1417</v>
      </c>
    </row>
    <row r="525" customFormat="false" ht="15" hidden="false" customHeight="false" outlineLevel="0" collapsed="false">
      <c r="A525" s="15" t="s">
        <v>221</v>
      </c>
      <c r="B525" s="15" t="s">
        <v>431</v>
      </c>
      <c r="C525" s="15" t="str">
        <f aca="false">IFERROR(INDEX('Method &amp; Notes'!$B$24:$B$34,MATCH(B525,'Method &amp; Notes'!$A$24:$A$34,0)),"")</f>
        <v>Marketplaces and booking platforms</v>
      </c>
      <c r="D525" s="15" t="s">
        <v>435</v>
      </c>
      <c r="E525" s="16" t="s">
        <v>1418</v>
      </c>
      <c r="F525" s="15" t="s">
        <v>1419</v>
      </c>
    </row>
    <row r="526" customFormat="false" ht="15" hidden="false" customHeight="false" outlineLevel="0" collapsed="false">
      <c r="A526" s="15" t="s">
        <v>221</v>
      </c>
      <c r="B526" s="15" t="s">
        <v>431</v>
      </c>
      <c r="C526" s="15" t="str">
        <f aca="false">IFERROR(INDEX('Method &amp; Notes'!$B$24:$B$34,MATCH(B526,'Method &amp; Notes'!$A$24:$A$34,0)),"")</f>
        <v>Marketplaces and booking platforms</v>
      </c>
      <c r="D526" s="15" t="s">
        <v>435</v>
      </c>
      <c r="E526" s="16" t="s">
        <v>1036</v>
      </c>
      <c r="F526" s="15" t="s">
        <v>1420</v>
      </c>
    </row>
    <row r="527" customFormat="false" ht="15" hidden="false" customHeight="false" outlineLevel="0" collapsed="false">
      <c r="A527" s="15" t="s">
        <v>221</v>
      </c>
      <c r="B527" s="15" t="s">
        <v>448</v>
      </c>
      <c r="C527" s="15" t="str">
        <f aca="false">IFERROR(INDEX('Method &amp; Notes'!$B$24:$B$34,MATCH(B527,'Method &amp; Notes'!$A$24:$A$34,0)),"")</f>
        <v>Warranty claims and inspections</v>
      </c>
      <c r="D527" s="15" t="s">
        <v>545</v>
      </c>
      <c r="E527" s="16" t="s">
        <v>546</v>
      </c>
      <c r="F527" s="15" t="s">
        <v>1421</v>
      </c>
    </row>
    <row r="528" customFormat="false" ht="23.85" hidden="false" customHeight="false" outlineLevel="0" collapsed="false">
      <c r="A528" s="15" t="s">
        <v>221</v>
      </c>
      <c r="B528" s="15" t="s">
        <v>452</v>
      </c>
      <c r="C528" s="15" t="str">
        <f aca="false">IFERROR(INDEX('Method &amp; Notes'!$B$24:$B$34,MATCH(B528,'Method &amp; Notes'!$A$24:$A$34,0)),"")</f>
        <v>DIY and how-to interest</v>
      </c>
      <c r="D528" s="15" t="s">
        <v>1422</v>
      </c>
      <c r="E528" s="16" t="s">
        <v>1423</v>
      </c>
      <c r="F528" s="15" t="s">
        <v>1424</v>
      </c>
    </row>
    <row r="529" customFormat="false" ht="35.05" hidden="false" customHeight="false" outlineLevel="0" collapsed="false">
      <c r="A529" s="15" t="s">
        <v>221</v>
      </c>
      <c r="B529" s="15" t="s">
        <v>452</v>
      </c>
      <c r="C529" s="15" t="str">
        <f aca="false">IFERROR(INDEX('Method &amp; Notes'!$B$24:$B$34,MATCH(B529,'Method &amp; Notes'!$A$24:$A$34,0)),"")</f>
        <v>DIY and how-to interest</v>
      </c>
      <c r="D529" s="15" t="s">
        <v>1260</v>
      </c>
      <c r="E529" s="16" t="s">
        <v>1261</v>
      </c>
      <c r="F529" s="15" t="s">
        <v>1425</v>
      </c>
    </row>
    <row r="530" customFormat="false" ht="23.85" hidden="false" customHeight="false" outlineLevel="0" collapsed="false">
      <c r="A530" s="15" t="s">
        <v>221</v>
      </c>
      <c r="B530" s="15" t="s">
        <v>452</v>
      </c>
      <c r="C530" s="15" t="str">
        <f aca="false">IFERROR(INDEX('Method &amp; Notes'!$B$24:$B$34,MATCH(B530,'Method &amp; Notes'!$A$24:$A$34,0)),"")</f>
        <v>DIY and how-to interest</v>
      </c>
      <c r="D530" s="15" t="s">
        <v>1426</v>
      </c>
      <c r="E530" s="16" t="s">
        <v>1427</v>
      </c>
      <c r="F530" s="15" t="s">
        <v>1428</v>
      </c>
    </row>
    <row r="531" customFormat="false" ht="15" hidden="false" customHeight="false" outlineLevel="0" collapsed="false">
      <c r="A531" s="15" t="s">
        <v>225</v>
      </c>
      <c r="B531" s="15" t="s">
        <v>441</v>
      </c>
      <c r="C531" s="15" t="str">
        <f aca="false">IFERROR(INDEX('Method &amp; Notes'!$B$24:$B$34,MATCH(B531,'Method &amp; Notes'!$A$24:$A$34,0)),"")</f>
        <v>Handyman business guides</v>
      </c>
      <c r="D531" s="15" t="s">
        <v>1429</v>
      </c>
      <c r="E531" s="16" t="s">
        <v>1430</v>
      </c>
      <c r="F531" s="15" t="s">
        <v>1431</v>
      </c>
    </row>
    <row r="532" customFormat="false" ht="15" hidden="false" customHeight="false" outlineLevel="0" collapsed="false">
      <c r="A532" s="15" t="s">
        <v>225</v>
      </c>
      <c r="B532" s="15" t="s">
        <v>441</v>
      </c>
      <c r="C532" s="15" t="str">
        <f aca="false">IFERROR(INDEX('Method &amp; Notes'!$B$24:$B$34,MATCH(B532,'Method &amp; Notes'!$A$24:$A$34,0)),"")</f>
        <v>Handyman business guides</v>
      </c>
      <c r="D532" s="15" t="s">
        <v>843</v>
      </c>
      <c r="E532" s="16" t="s">
        <v>844</v>
      </c>
      <c r="F532" s="15" t="s">
        <v>1432</v>
      </c>
    </row>
    <row r="533" customFormat="false" ht="23.85" hidden="false" customHeight="false" outlineLevel="0" collapsed="false">
      <c r="A533" s="15" t="s">
        <v>225</v>
      </c>
      <c r="B533" s="15" t="s">
        <v>463</v>
      </c>
      <c r="C533" s="15" t="str">
        <f aca="false">IFERROR(INDEX('Method &amp; Notes'!$B$24:$B$34,MATCH(B533,'Method &amp; Notes'!$A$24:$A$34,0)),"")</f>
        <v>Memberships, concierge and retailer services</v>
      </c>
      <c r="D533" s="15" t="s">
        <v>638</v>
      </c>
      <c r="E533" s="16" t="s">
        <v>639</v>
      </c>
      <c r="F533" s="15" t="s">
        <v>1433</v>
      </c>
    </row>
    <row r="534" customFormat="false" ht="23.85" hidden="false" customHeight="false" outlineLevel="0" collapsed="false">
      <c r="A534" s="15" t="s">
        <v>225</v>
      </c>
      <c r="B534" s="15" t="s">
        <v>477</v>
      </c>
      <c r="C534" s="15" t="str">
        <f aca="false">IFERROR(INDEX('Method &amp; Notes'!$B$24:$B$34,MATCH(B534,'Method &amp; Notes'!$A$24:$A$34,0)),"")</f>
        <v>Regional, seasonal and emerging demand</v>
      </c>
      <c r="D534" s="15" t="s">
        <v>471</v>
      </c>
      <c r="E534" s="16" t="s">
        <v>1434</v>
      </c>
      <c r="F534" s="15" t="s">
        <v>1435</v>
      </c>
    </row>
    <row r="535" customFormat="false" ht="23.85" hidden="false" customHeight="false" outlineLevel="0" collapsed="false">
      <c r="A535" s="15" t="s">
        <v>225</v>
      </c>
      <c r="B535" s="15" t="s">
        <v>477</v>
      </c>
      <c r="C535" s="15" t="str">
        <f aca="false">IFERROR(INDEX('Method &amp; Notes'!$B$24:$B$34,MATCH(B535,'Method &amp; Notes'!$A$24:$A$34,0)),"")</f>
        <v>Regional, seasonal and emerging demand</v>
      </c>
      <c r="D535" s="15" t="s">
        <v>1436</v>
      </c>
      <c r="E535" s="16" t="s">
        <v>1437</v>
      </c>
      <c r="F535" s="15" t="s">
        <v>1438</v>
      </c>
    </row>
    <row r="536" customFormat="false" ht="23.85" hidden="false" customHeight="false" outlineLevel="0" collapsed="false">
      <c r="A536" s="15" t="s">
        <v>225</v>
      </c>
      <c r="B536" s="15" t="s">
        <v>477</v>
      </c>
      <c r="C536" s="15" t="str">
        <f aca="false">IFERROR(INDEX('Method &amp; Notes'!$B$24:$B$34,MATCH(B536,'Method &amp; Notes'!$A$24:$A$34,0)),"")</f>
        <v>Regional, seasonal and emerging demand</v>
      </c>
      <c r="D536" s="15" t="s">
        <v>1439</v>
      </c>
      <c r="E536" s="16" t="s">
        <v>1440</v>
      </c>
      <c r="F536" s="15" t="s">
        <v>1441</v>
      </c>
    </row>
    <row r="537" customFormat="false" ht="23.85" hidden="false" customHeight="false" outlineLevel="0" collapsed="false">
      <c r="A537" s="15" t="s">
        <v>228</v>
      </c>
      <c r="B537" s="15" t="s">
        <v>441</v>
      </c>
      <c r="C537" s="15" t="str">
        <f aca="false">IFERROR(INDEX('Method &amp; Notes'!$B$24:$B$34,MATCH(B537,'Method &amp; Notes'!$A$24:$A$34,0)),"")</f>
        <v>Handyman business guides</v>
      </c>
      <c r="D537" s="15" t="s">
        <v>622</v>
      </c>
      <c r="E537" s="16" t="s">
        <v>623</v>
      </c>
      <c r="F537" s="15" t="s">
        <v>1442</v>
      </c>
    </row>
    <row r="538" customFormat="false" ht="15" hidden="false" customHeight="false" outlineLevel="0" collapsed="false">
      <c r="A538" s="15" t="s">
        <v>228</v>
      </c>
      <c r="B538" s="15" t="s">
        <v>441</v>
      </c>
      <c r="C538" s="15" t="str">
        <f aca="false">IFERROR(INDEX('Method &amp; Notes'!$B$24:$B$34,MATCH(B538,'Method &amp; Notes'!$A$24:$A$34,0)),"")</f>
        <v>Handyman business guides</v>
      </c>
      <c r="D538" s="15" t="s">
        <v>442</v>
      </c>
      <c r="E538" s="16" t="s">
        <v>443</v>
      </c>
      <c r="F538" s="15" t="s">
        <v>1443</v>
      </c>
    </row>
    <row r="539" customFormat="false" ht="23.85" hidden="false" customHeight="false" outlineLevel="0" collapsed="false">
      <c r="A539" s="15" t="s">
        <v>228</v>
      </c>
      <c r="B539" s="15" t="s">
        <v>452</v>
      </c>
      <c r="C539" s="15" t="str">
        <f aca="false">IFERROR(INDEX('Method &amp; Notes'!$B$24:$B$34,MATCH(B539,'Method &amp; Notes'!$A$24:$A$34,0)),"")</f>
        <v>DIY and how-to interest</v>
      </c>
      <c r="D539" s="15" t="s">
        <v>967</v>
      </c>
      <c r="E539" s="16" t="s">
        <v>968</v>
      </c>
      <c r="F539" s="15" t="s">
        <v>1444</v>
      </c>
    </row>
    <row r="540" customFormat="false" ht="35.05" hidden="false" customHeight="false" outlineLevel="0" collapsed="false">
      <c r="A540" s="15" t="s">
        <v>228</v>
      </c>
      <c r="B540" s="15" t="s">
        <v>452</v>
      </c>
      <c r="C540" s="15" t="str">
        <f aca="false">IFERROR(INDEX('Method &amp; Notes'!$B$24:$B$34,MATCH(B540,'Method &amp; Notes'!$A$24:$A$34,0)),"")</f>
        <v>DIY and how-to interest</v>
      </c>
      <c r="D540" s="15" t="s">
        <v>731</v>
      </c>
      <c r="E540" s="16" t="s">
        <v>732</v>
      </c>
      <c r="F540" s="15" t="s">
        <v>1445</v>
      </c>
    </row>
    <row r="541" customFormat="false" ht="23.85" hidden="false" customHeight="false" outlineLevel="0" collapsed="false">
      <c r="A541" s="15" t="s">
        <v>228</v>
      </c>
      <c r="B541" s="15" t="s">
        <v>477</v>
      </c>
      <c r="C541" s="15" t="str">
        <f aca="false">IFERROR(INDEX('Method &amp; Notes'!$B$24:$B$34,MATCH(B541,'Method &amp; Notes'!$A$24:$A$34,0)),"")</f>
        <v>Regional, seasonal and emerging demand</v>
      </c>
      <c r="D541" s="15" t="s">
        <v>478</v>
      </c>
      <c r="E541" s="16" t="s">
        <v>443</v>
      </c>
      <c r="F541" s="15" t="s">
        <v>1446</v>
      </c>
    </row>
    <row r="542" customFormat="false" ht="23.85" hidden="false" customHeight="false" outlineLevel="0" collapsed="false">
      <c r="A542" s="15" t="s">
        <v>228</v>
      </c>
      <c r="B542" s="15" t="s">
        <v>477</v>
      </c>
      <c r="C542" s="15" t="str">
        <f aca="false">IFERROR(INDEX('Method &amp; Notes'!$B$24:$B$34,MATCH(B542,'Method &amp; Notes'!$A$24:$A$34,0)),"")</f>
        <v>Regional, seasonal and emerging demand</v>
      </c>
      <c r="D542" s="15" t="s">
        <v>1447</v>
      </c>
      <c r="E542" s="16" t="s">
        <v>1448</v>
      </c>
      <c r="F542" s="15" t="s">
        <v>1449</v>
      </c>
    </row>
    <row r="543" customFormat="false" ht="15" hidden="false" customHeight="false" outlineLevel="0" collapsed="false">
      <c r="A543" s="15" t="s">
        <v>232</v>
      </c>
      <c r="B543" s="15" t="s">
        <v>448</v>
      </c>
      <c r="C543" s="15" t="str">
        <f aca="false">IFERROR(INDEX('Method &amp; Notes'!$B$24:$B$34,MATCH(B543,'Method &amp; Notes'!$A$24:$A$34,0)),"")</f>
        <v>Warranty claims and inspections</v>
      </c>
      <c r="D543" s="15" t="s">
        <v>545</v>
      </c>
      <c r="E543" s="16" t="s">
        <v>546</v>
      </c>
      <c r="F543" s="15" t="s">
        <v>1450</v>
      </c>
    </row>
    <row r="544" customFormat="false" ht="23.85" hidden="false" customHeight="false" outlineLevel="0" collapsed="false">
      <c r="A544" s="15" t="s">
        <v>232</v>
      </c>
      <c r="B544" s="15" t="s">
        <v>448</v>
      </c>
      <c r="C544" s="15" t="str">
        <f aca="false">IFERROR(INDEX('Method &amp; Notes'!$B$24:$B$34,MATCH(B544,'Method &amp; Notes'!$A$24:$A$34,0)),"")</f>
        <v>Warranty claims and inspections</v>
      </c>
      <c r="D544" s="15" t="s">
        <v>1451</v>
      </c>
      <c r="E544" s="16" t="s">
        <v>1452</v>
      </c>
      <c r="F544" s="15" t="s">
        <v>1453</v>
      </c>
    </row>
    <row r="545" customFormat="false" ht="23.85" hidden="false" customHeight="false" outlineLevel="0" collapsed="false">
      <c r="A545" s="15" t="s">
        <v>232</v>
      </c>
      <c r="B545" s="15" t="s">
        <v>452</v>
      </c>
      <c r="C545" s="15" t="str">
        <f aca="false">IFERROR(INDEX('Method &amp; Notes'!$B$24:$B$34,MATCH(B545,'Method &amp; Notes'!$A$24:$A$34,0)),"")</f>
        <v>DIY and how-to interest</v>
      </c>
      <c r="D545" s="15" t="s">
        <v>453</v>
      </c>
      <c r="E545" s="16" t="s">
        <v>454</v>
      </c>
      <c r="F545" s="15" t="s">
        <v>1454</v>
      </c>
    </row>
    <row r="546" customFormat="false" ht="23.85" hidden="false" customHeight="false" outlineLevel="0" collapsed="false">
      <c r="A546" s="15" t="s">
        <v>232</v>
      </c>
      <c r="B546" s="15" t="s">
        <v>452</v>
      </c>
      <c r="C546" s="15" t="str">
        <f aca="false">IFERROR(INDEX('Method &amp; Notes'!$B$24:$B$34,MATCH(B546,'Method &amp; Notes'!$A$24:$A$34,0)),"")</f>
        <v>DIY and how-to interest</v>
      </c>
      <c r="D546" s="15" t="s">
        <v>1455</v>
      </c>
      <c r="E546" s="16" t="s">
        <v>1456</v>
      </c>
      <c r="F546" s="15" t="s">
        <v>1457</v>
      </c>
    </row>
    <row r="547" customFormat="false" ht="23.85" hidden="false" customHeight="false" outlineLevel="0" collapsed="false">
      <c r="A547" s="15" t="s">
        <v>232</v>
      </c>
      <c r="B547" s="15" t="s">
        <v>452</v>
      </c>
      <c r="C547" s="15" t="str">
        <f aca="false">IFERROR(INDEX('Method &amp; Notes'!$B$24:$B$34,MATCH(B547,'Method &amp; Notes'!$A$24:$A$34,0)),"")</f>
        <v>DIY and how-to interest</v>
      </c>
      <c r="D547" s="15" t="s">
        <v>789</v>
      </c>
      <c r="E547" s="16" t="s">
        <v>790</v>
      </c>
      <c r="F547" s="15" t="s">
        <v>1458</v>
      </c>
    </row>
    <row r="548" customFormat="false" ht="23.85" hidden="false" customHeight="false" outlineLevel="0" collapsed="false">
      <c r="A548" s="15" t="s">
        <v>232</v>
      </c>
      <c r="B548" s="15" t="s">
        <v>477</v>
      </c>
      <c r="C548" s="15" t="str">
        <f aca="false">IFERROR(INDEX('Method &amp; Notes'!$B$24:$B$34,MATCH(B548,'Method &amp; Notes'!$A$24:$A$34,0)),"")</f>
        <v>Regional, seasonal and emerging demand</v>
      </c>
      <c r="D548" s="15" t="s">
        <v>1459</v>
      </c>
      <c r="E548" s="16" t="s">
        <v>1460</v>
      </c>
      <c r="F548" s="15" t="s">
        <v>1461</v>
      </c>
    </row>
    <row r="549" customFormat="false" ht="15" hidden="false" customHeight="false" outlineLevel="0" collapsed="false">
      <c r="A549" s="15" t="s">
        <v>236</v>
      </c>
      <c r="B549" s="15" t="s">
        <v>441</v>
      </c>
      <c r="C549" s="15" t="str">
        <f aca="false">IFERROR(INDEX('Method &amp; Notes'!$B$24:$B$34,MATCH(B549,'Method &amp; Notes'!$A$24:$A$34,0)),"")</f>
        <v>Handyman business guides</v>
      </c>
      <c r="D549" s="15" t="s">
        <v>442</v>
      </c>
      <c r="E549" s="16" t="s">
        <v>443</v>
      </c>
      <c r="F549" s="15" t="s">
        <v>1462</v>
      </c>
    </row>
    <row r="550" customFormat="false" ht="15" hidden="false" customHeight="false" outlineLevel="0" collapsed="false">
      <c r="A550" s="15" t="s">
        <v>236</v>
      </c>
      <c r="B550" s="15" t="s">
        <v>441</v>
      </c>
      <c r="C550" s="15" t="str">
        <f aca="false">IFERROR(INDEX('Method &amp; Notes'!$B$24:$B$34,MATCH(B550,'Method &amp; Notes'!$A$24:$A$34,0)),"")</f>
        <v>Handyman business guides</v>
      </c>
      <c r="D550" s="15" t="s">
        <v>843</v>
      </c>
      <c r="E550" s="16" t="s">
        <v>844</v>
      </c>
      <c r="F550" s="15" t="s">
        <v>1463</v>
      </c>
    </row>
    <row r="551" customFormat="false" ht="23.85" hidden="false" customHeight="false" outlineLevel="0" collapsed="false">
      <c r="A551" s="15" t="s">
        <v>236</v>
      </c>
      <c r="B551" s="15" t="s">
        <v>452</v>
      </c>
      <c r="C551" s="15" t="str">
        <f aca="false">IFERROR(INDEX('Method &amp; Notes'!$B$24:$B$34,MATCH(B551,'Method &amp; Notes'!$A$24:$A$34,0)),"")</f>
        <v>DIY and how-to interest</v>
      </c>
      <c r="D551" s="15" t="s">
        <v>892</v>
      </c>
      <c r="E551" s="16" t="s">
        <v>893</v>
      </c>
      <c r="F551" s="15" t="s">
        <v>1464</v>
      </c>
    </row>
    <row r="552" customFormat="false" ht="23.85" hidden="false" customHeight="false" outlineLevel="0" collapsed="false">
      <c r="A552" s="15" t="s">
        <v>236</v>
      </c>
      <c r="B552" s="15" t="s">
        <v>477</v>
      </c>
      <c r="C552" s="15" t="str">
        <f aca="false">IFERROR(INDEX('Method &amp; Notes'!$B$24:$B$34,MATCH(B552,'Method &amp; Notes'!$A$24:$A$34,0)),"")</f>
        <v>Regional, seasonal and emerging demand</v>
      </c>
      <c r="D552" s="15" t="s">
        <v>483</v>
      </c>
      <c r="E552" s="16" t="s">
        <v>484</v>
      </c>
      <c r="F552" s="15" t="s">
        <v>1465</v>
      </c>
    </row>
    <row r="553" customFormat="false" ht="23.85" hidden="false" customHeight="false" outlineLevel="0" collapsed="false">
      <c r="A553" s="15" t="s">
        <v>236</v>
      </c>
      <c r="B553" s="15" t="s">
        <v>477</v>
      </c>
      <c r="C553" s="15" t="str">
        <f aca="false">IFERROR(INDEX('Method &amp; Notes'!$B$24:$B$34,MATCH(B553,'Method &amp; Notes'!$A$24:$A$34,0)),"")</f>
        <v>Regional, seasonal and emerging demand</v>
      </c>
      <c r="D553" s="15" t="s">
        <v>478</v>
      </c>
      <c r="E553" s="16" t="s">
        <v>443</v>
      </c>
      <c r="F553" s="15" t="s">
        <v>1466</v>
      </c>
    </row>
    <row r="554" customFormat="false" ht="23.85" hidden="false" customHeight="false" outlineLevel="0" collapsed="false">
      <c r="A554" s="15" t="s">
        <v>240</v>
      </c>
      <c r="B554" s="15" t="s">
        <v>452</v>
      </c>
      <c r="C554" s="15" t="str">
        <f aca="false">IFERROR(INDEX('Method &amp; Notes'!$B$24:$B$34,MATCH(B554,'Method &amp; Notes'!$A$24:$A$34,0)),"")</f>
        <v>DIY and how-to interest</v>
      </c>
      <c r="D554" s="15" t="s">
        <v>967</v>
      </c>
      <c r="E554" s="16" t="s">
        <v>968</v>
      </c>
      <c r="F554" s="15" t="s">
        <v>1467</v>
      </c>
    </row>
    <row r="555" customFormat="false" ht="23.85" hidden="false" customHeight="false" outlineLevel="0" collapsed="false">
      <c r="A555" s="15" t="s">
        <v>240</v>
      </c>
      <c r="B555" s="15" t="s">
        <v>459</v>
      </c>
      <c r="C555" s="15" t="str">
        <f aca="false">IFERROR(INDEX('Method &amp; Notes'!$B$24:$B$34,MATCH(B555,'Method &amp; Notes'!$A$24:$A$34,0)),"")</f>
        <v>Rental and property maintenance requests</v>
      </c>
      <c r="D555" s="15" t="s">
        <v>592</v>
      </c>
      <c r="E555" s="16" t="s">
        <v>593</v>
      </c>
      <c r="F555" s="15" t="s">
        <v>1468</v>
      </c>
    </row>
    <row r="556" customFormat="false" ht="23.85" hidden="false" customHeight="false" outlineLevel="0" collapsed="false">
      <c r="A556" s="15" t="s">
        <v>240</v>
      </c>
      <c r="B556" s="15" t="s">
        <v>459</v>
      </c>
      <c r="C556" s="15" t="str">
        <f aca="false">IFERROR(INDEX('Method &amp; Notes'!$B$24:$B$34,MATCH(B556,'Method &amp; Notes'!$A$24:$A$34,0)),"")</f>
        <v>Rental and property maintenance requests</v>
      </c>
      <c r="D556" s="15" t="s">
        <v>1043</v>
      </c>
      <c r="E556" s="16" t="s">
        <v>1044</v>
      </c>
      <c r="F556" s="15" t="s">
        <v>1469</v>
      </c>
    </row>
    <row r="557" customFormat="false" ht="23.85" hidden="false" customHeight="false" outlineLevel="0" collapsed="false">
      <c r="A557" s="15" t="s">
        <v>240</v>
      </c>
      <c r="B557" s="15" t="s">
        <v>459</v>
      </c>
      <c r="C557" s="15" t="str">
        <f aca="false">IFERROR(INDEX('Method &amp; Notes'!$B$24:$B$34,MATCH(B557,'Method &amp; Notes'!$A$24:$A$34,0)),"")</f>
        <v>Rental and property maintenance requests</v>
      </c>
      <c r="D557" s="15" t="s">
        <v>589</v>
      </c>
      <c r="E557" s="16" t="s">
        <v>590</v>
      </c>
      <c r="F557" s="15" t="s">
        <v>1470</v>
      </c>
    </row>
    <row r="558" customFormat="false" ht="23.85" hidden="false" customHeight="false" outlineLevel="0" collapsed="false">
      <c r="A558" s="15" t="s">
        <v>240</v>
      </c>
      <c r="B558" s="15" t="s">
        <v>486</v>
      </c>
      <c r="C558" s="15" t="str">
        <f aca="false">IFERROR(INDEX('Method &amp; Notes'!$B$24:$B$34,MATCH(B558,'Method &amp; Notes'!$A$24:$A$34,0)),"")</f>
        <v>Search demand</v>
      </c>
      <c r="D558" s="15" t="s">
        <v>616</v>
      </c>
      <c r="E558" s="16" t="s">
        <v>617</v>
      </c>
      <c r="F558" s="15" t="s">
        <v>1471</v>
      </c>
    </row>
    <row r="559" customFormat="false" ht="23.85" hidden="false" customHeight="false" outlineLevel="0" collapsed="false">
      <c r="A559" s="15" t="s">
        <v>243</v>
      </c>
      <c r="B559" s="15" t="s">
        <v>452</v>
      </c>
      <c r="C559" s="15" t="str">
        <f aca="false">IFERROR(INDEX('Method &amp; Notes'!$B$24:$B$34,MATCH(B559,'Method &amp; Notes'!$A$24:$A$34,0)),"")</f>
        <v>DIY and how-to interest</v>
      </c>
      <c r="D559" s="15" t="s">
        <v>892</v>
      </c>
      <c r="E559" s="16" t="s">
        <v>893</v>
      </c>
      <c r="F559" s="15" t="s">
        <v>894</v>
      </c>
    </row>
    <row r="560" customFormat="false" ht="23.85" hidden="false" customHeight="false" outlineLevel="0" collapsed="false">
      <c r="A560" s="15" t="s">
        <v>243</v>
      </c>
      <c r="B560" s="15" t="s">
        <v>459</v>
      </c>
      <c r="C560" s="15" t="str">
        <f aca="false">IFERROR(INDEX('Method &amp; Notes'!$B$24:$B$34,MATCH(B560,'Method &amp; Notes'!$A$24:$A$34,0)),"")</f>
        <v>Rental and property maintenance requests</v>
      </c>
      <c r="D560" s="15" t="s">
        <v>589</v>
      </c>
      <c r="E560" s="16" t="s">
        <v>590</v>
      </c>
      <c r="F560" s="15" t="s">
        <v>1472</v>
      </c>
    </row>
    <row r="561" customFormat="false" ht="23.85" hidden="false" customHeight="false" outlineLevel="0" collapsed="false">
      <c r="A561" s="15" t="s">
        <v>243</v>
      </c>
      <c r="B561" s="15" t="s">
        <v>459</v>
      </c>
      <c r="C561" s="15" t="str">
        <f aca="false">IFERROR(INDEX('Method &amp; Notes'!$B$24:$B$34,MATCH(B561,'Method &amp; Notes'!$A$24:$A$34,0)),"")</f>
        <v>Rental and property maintenance requests</v>
      </c>
      <c r="D561" s="15" t="s">
        <v>1473</v>
      </c>
      <c r="E561" s="16" t="s">
        <v>1474</v>
      </c>
      <c r="F561" s="15" t="s">
        <v>1475</v>
      </c>
    </row>
    <row r="562" customFormat="false" ht="23.85" hidden="false" customHeight="false" outlineLevel="0" collapsed="false">
      <c r="A562" s="15" t="s">
        <v>243</v>
      </c>
      <c r="B562" s="15" t="s">
        <v>467</v>
      </c>
      <c r="C562" s="15" t="str">
        <f aca="false">IFERROR(INDEX('Method &amp; Notes'!$B$24:$B$34,MATCH(B562,'Method &amp; Notes'!$A$24:$A$34,0)),"")</f>
        <v>Time, cost and scope guides</v>
      </c>
      <c r="D562" s="15" t="s">
        <v>900</v>
      </c>
      <c r="E562" s="16" t="s">
        <v>901</v>
      </c>
      <c r="F562" s="15" t="s">
        <v>1476</v>
      </c>
    </row>
    <row r="563" customFormat="false" ht="15" hidden="false" customHeight="false" outlineLevel="0" collapsed="false">
      <c r="A563" s="15" t="s">
        <v>243</v>
      </c>
      <c r="B563" s="15" t="s">
        <v>467</v>
      </c>
      <c r="C563" s="15" t="str">
        <f aca="false">IFERROR(INDEX('Method &amp; Notes'!$B$24:$B$34,MATCH(B563,'Method &amp; Notes'!$A$24:$A$34,0)),"")</f>
        <v>Time, cost and scope guides</v>
      </c>
      <c r="D563" s="15" t="s">
        <v>435</v>
      </c>
      <c r="E563" s="16" t="s">
        <v>903</v>
      </c>
      <c r="F563" s="15" t="s">
        <v>1477</v>
      </c>
    </row>
    <row r="564" customFormat="false" ht="23.85" hidden="false" customHeight="false" outlineLevel="0" collapsed="false">
      <c r="A564" s="15" t="s">
        <v>247</v>
      </c>
      <c r="B564" s="15" t="s">
        <v>431</v>
      </c>
      <c r="C564" s="15" t="str">
        <f aca="false">IFERROR(INDEX('Method &amp; Notes'!$B$24:$B$34,MATCH(B564,'Method &amp; Notes'!$A$24:$A$34,0)),"")</f>
        <v>Marketplaces and booking platforms</v>
      </c>
      <c r="D564" s="15" t="s">
        <v>432</v>
      </c>
      <c r="E564" s="16" t="s">
        <v>1478</v>
      </c>
      <c r="F564" s="15" t="s">
        <v>1479</v>
      </c>
    </row>
    <row r="565" customFormat="false" ht="15" hidden="false" customHeight="false" outlineLevel="0" collapsed="false">
      <c r="A565" s="15" t="s">
        <v>247</v>
      </c>
      <c r="B565" s="15" t="s">
        <v>431</v>
      </c>
      <c r="C565" s="15" t="str">
        <f aca="false">IFERROR(INDEX('Method &amp; Notes'!$B$24:$B$34,MATCH(B565,'Method &amp; Notes'!$A$24:$A$34,0)),"")</f>
        <v>Marketplaces and booking platforms</v>
      </c>
      <c r="D565" s="15" t="s">
        <v>1480</v>
      </c>
      <c r="E565" s="16" t="s">
        <v>1481</v>
      </c>
      <c r="F565" s="15" t="s">
        <v>1482</v>
      </c>
    </row>
    <row r="566" customFormat="false" ht="15" hidden="false" customHeight="false" outlineLevel="0" collapsed="false">
      <c r="A566" s="15" t="s">
        <v>247</v>
      </c>
      <c r="B566" s="15" t="s">
        <v>441</v>
      </c>
      <c r="C566" s="15" t="str">
        <f aca="false">IFERROR(INDEX('Method &amp; Notes'!$B$24:$B$34,MATCH(B566,'Method &amp; Notes'!$A$24:$A$34,0)),"")</f>
        <v>Handyman business guides</v>
      </c>
      <c r="D566" s="15" t="s">
        <v>843</v>
      </c>
      <c r="E566" s="16" t="s">
        <v>844</v>
      </c>
      <c r="F566" s="15" t="s">
        <v>1483</v>
      </c>
    </row>
    <row r="567" customFormat="false" ht="23.85" hidden="false" customHeight="false" outlineLevel="0" collapsed="false">
      <c r="A567" s="15" t="s">
        <v>247</v>
      </c>
      <c r="B567" s="15" t="s">
        <v>463</v>
      </c>
      <c r="C567" s="15" t="str">
        <f aca="false">IFERROR(INDEX('Method &amp; Notes'!$B$24:$B$34,MATCH(B567,'Method &amp; Notes'!$A$24:$A$34,0)),"")</f>
        <v>Memberships, concierge and retailer services</v>
      </c>
      <c r="D567" s="15" t="s">
        <v>851</v>
      </c>
      <c r="E567" s="16" t="s">
        <v>852</v>
      </c>
      <c r="F567" s="15" t="s">
        <v>1484</v>
      </c>
    </row>
    <row r="568" customFormat="false" ht="15" hidden="false" customHeight="false" outlineLevel="0" collapsed="false">
      <c r="A568" s="15" t="s">
        <v>251</v>
      </c>
      <c r="B568" s="15" t="s">
        <v>431</v>
      </c>
      <c r="C568" s="15" t="str">
        <f aca="false">IFERROR(INDEX('Method &amp; Notes'!$B$24:$B$34,MATCH(B568,'Method &amp; Notes'!$A$24:$A$34,0)),"")</f>
        <v>Marketplaces and booking platforms</v>
      </c>
      <c r="D568" s="15" t="s">
        <v>432</v>
      </c>
      <c r="E568" s="16" t="s">
        <v>1485</v>
      </c>
      <c r="F568" s="15" t="s">
        <v>1486</v>
      </c>
    </row>
    <row r="569" customFormat="false" ht="15" hidden="false" customHeight="false" outlineLevel="0" collapsed="false">
      <c r="A569" s="15" t="s">
        <v>251</v>
      </c>
      <c r="B569" s="15" t="s">
        <v>431</v>
      </c>
      <c r="C569" s="15" t="str">
        <f aca="false">IFERROR(INDEX('Method &amp; Notes'!$B$24:$B$34,MATCH(B569,'Method &amp; Notes'!$A$24:$A$34,0)),"")</f>
        <v>Marketplaces and booking platforms</v>
      </c>
      <c r="D569" s="15" t="s">
        <v>990</v>
      </c>
      <c r="E569" s="16" t="s">
        <v>991</v>
      </c>
      <c r="F569" s="15" t="s">
        <v>1487</v>
      </c>
    </row>
    <row r="570" customFormat="false" ht="15" hidden="false" customHeight="false" outlineLevel="0" collapsed="false">
      <c r="A570" s="15" t="s">
        <v>251</v>
      </c>
      <c r="B570" s="15" t="s">
        <v>441</v>
      </c>
      <c r="C570" s="15" t="str">
        <f aca="false">IFERROR(INDEX('Method &amp; Notes'!$B$24:$B$34,MATCH(B570,'Method &amp; Notes'!$A$24:$A$34,0)),"")</f>
        <v>Handyman business guides</v>
      </c>
      <c r="D570" s="15" t="s">
        <v>445</v>
      </c>
      <c r="E570" s="16" t="s">
        <v>1135</v>
      </c>
      <c r="F570" s="15" t="s">
        <v>1488</v>
      </c>
    </row>
    <row r="571" customFormat="false" ht="23.85" hidden="false" customHeight="false" outlineLevel="0" collapsed="false">
      <c r="A571" s="15" t="s">
        <v>251</v>
      </c>
      <c r="B571" s="15" t="s">
        <v>463</v>
      </c>
      <c r="C571" s="15" t="str">
        <f aca="false">IFERROR(INDEX('Method &amp; Notes'!$B$24:$B$34,MATCH(B571,'Method &amp; Notes'!$A$24:$A$34,0)),"")</f>
        <v>Memberships, concierge and retailer services</v>
      </c>
      <c r="D571" s="15" t="s">
        <v>1489</v>
      </c>
      <c r="E571" s="16" t="s">
        <v>1490</v>
      </c>
      <c r="F571" s="15" t="s">
        <v>1491</v>
      </c>
    </row>
    <row r="572" customFormat="false" ht="23.85" hidden="false" customHeight="false" outlineLevel="0" collapsed="false">
      <c r="A572" s="15" t="s">
        <v>254</v>
      </c>
      <c r="B572" s="15" t="s">
        <v>441</v>
      </c>
      <c r="C572" s="15" t="str">
        <f aca="false">IFERROR(INDEX('Method &amp; Notes'!$B$24:$B$34,MATCH(B572,'Method &amp; Notes'!$A$24:$A$34,0)),"")</f>
        <v>Handyman business guides</v>
      </c>
      <c r="D572" s="15" t="s">
        <v>1492</v>
      </c>
      <c r="E572" s="16" t="s">
        <v>1493</v>
      </c>
      <c r="F572" s="15" t="s">
        <v>1494</v>
      </c>
    </row>
    <row r="573" customFormat="false" ht="35.05" hidden="false" customHeight="false" outlineLevel="0" collapsed="false">
      <c r="A573" s="15" t="s">
        <v>254</v>
      </c>
      <c r="B573" s="15" t="s">
        <v>452</v>
      </c>
      <c r="C573" s="15" t="str">
        <f aca="false">IFERROR(INDEX('Method &amp; Notes'!$B$24:$B$34,MATCH(B573,'Method &amp; Notes'!$A$24:$A$34,0)),"")</f>
        <v>DIY and how-to interest</v>
      </c>
      <c r="D573" s="15" t="s">
        <v>731</v>
      </c>
      <c r="E573" s="16" t="s">
        <v>732</v>
      </c>
      <c r="F573" s="15" t="s">
        <v>1495</v>
      </c>
    </row>
    <row r="574" customFormat="false" ht="23.85" hidden="false" customHeight="false" outlineLevel="0" collapsed="false">
      <c r="A574" s="15" t="s">
        <v>254</v>
      </c>
      <c r="B574" s="15" t="s">
        <v>463</v>
      </c>
      <c r="C574" s="15" t="str">
        <f aca="false">IFERROR(INDEX('Method &amp; Notes'!$B$24:$B$34,MATCH(B574,'Method &amp; Notes'!$A$24:$A$34,0)),"")</f>
        <v>Memberships, concierge and retailer services</v>
      </c>
      <c r="D574" s="15" t="s">
        <v>464</v>
      </c>
      <c r="E574" s="16" t="s">
        <v>465</v>
      </c>
      <c r="F574" s="15" t="s">
        <v>1496</v>
      </c>
    </row>
    <row r="575" customFormat="false" ht="23.85" hidden="false" customHeight="false" outlineLevel="0" collapsed="false">
      <c r="A575" s="15" t="s">
        <v>254</v>
      </c>
      <c r="B575" s="15" t="s">
        <v>463</v>
      </c>
      <c r="C575" s="15" t="str">
        <f aca="false">IFERROR(INDEX('Method &amp; Notes'!$B$24:$B$34,MATCH(B575,'Method &amp; Notes'!$A$24:$A$34,0)),"")</f>
        <v>Memberships, concierge and retailer services</v>
      </c>
      <c r="D575" s="15" t="s">
        <v>710</v>
      </c>
      <c r="E575" s="16" t="s">
        <v>711</v>
      </c>
      <c r="F575" s="15" t="s">
        <v>1497</v>
      </c>
    </row>
    <row r="576" customFormat="false" ht="23.85" hidden="false" customHeight="false" outlineLevel="0" collapsed="false">
      <c r="A576" s="15" t="s">
        <v>258</v>
      </c>
      <c r="B576" s="15" t="s">
        <v>448</v>
      </c>
      <c r="C576" s="15" t="str">
        <f aca="false">IFERROR(INDEX('Method &amp; Notes'!$B$24:$B$34,MATCH(B576,'Method &amp; Notes'!$A$24:$A$34,0)),"")</f>
        <v>Warranty claims and inspections</v>
      </c>
      <c r="D576" s="15" t="s">
        <v>579</v>
      </c>
      <c r="E576" s="16" t="s">
        <v>580</v>
      </c>
      <c r="F576" s="15" t="s">
        <v>1498</v>
      </c>
    </row>
    <row r="577" customFormat="false" ht="23.85" hidden="false" customHeight="false" outlineLevel="0" collapsed="false">
      <c r="A577" s="15" t="s">
        <v>258</v>
      </c>
      <c r="B577" s="15" t="s">
        <v>452</v>
      </c>
      <c r="C577" s="15" t="str">
        <f aca="false">IFERROR(INDEX('Method &amp; Notes'!$B$24:$B$34,MATCH(B577,'Method &amp; Notes'!$A$24:$A$34,0)),"")</f>
        <v>DIY and how-to interest</v>
      </c>
      <c r="D577" s="15" t="s">
        <v>889</v>
      </c>
      <c r="E577" s="16" t="s">
        <v>890</v>
      </c>
      <c r="F577" s="15" t="s">
        <v>1499</v>
      </c>
    </row>
    <row r="578" customFormat="false" ht="23.85" hidden="false" customHeight="false" outlineLevel="0" collapsed="false">
      <c r="A578" s="15" t="s">
        <v>258</v>
      </c>
      <c r="B578" s="15" t="s">
        <v>459</v>
      </c>
      <c r="C578" s="15" t="str">
        <f aca="false">IFERROR(INDEX('Method &amp; Notes'!$B$24:$B$34,MATCH(B578,'Method &amp; Notes'!$A$24:$A$34,0)),"")</f>
        <v>Rental and property maintenance requests</v>
      </c>
      <c r="D578" s="15" t="s">
        <v>592</v>
      </c>
      <c r="E578" s="16" t="s">
        <v>593</v>
      </c>
      <c r="F578" s="15" t="s">
        <v>1500</v>
      </c>
    </row>
    <row r="579" customFormat="false" ht="23.85" hidden="false" customHeight="false" outlineLevel="0" collapsed="false">
      <c r="A579" s="15" t="s">
        <v>258</v>
      </c>
      <c r="B579" s="15" t="s">
        <v>459</v>
      </c>
      <c r="C579" s="15" t="str">
        <f aca="false">IFERROR(INDEX('Method &amp; Notes'!$B$24:$B$34,MATCH(B579,'Method &amp; Notes'!$A$24:$A$34,0)),"")</f>
        <v>Rental and property maintenance requests</v>
      </c>
      <c r="D579" s="15" t="s">
        <v>1005</v>
      </c>
      <c r="E579" s="16" t="s">
        <v>1006</v>
      </c>
      <c r="F579" s="15" t="s">
        <v>1228</v>
      </c>
    </row>
    <row r="580" customFormat="false" ht="23.85" hidden="false" customHeight="false" outlineLevel="0" collapsed="false">
      <c r="A580" s="15" t="s">
        <v>262</v>
      </c>
      <c r="B580" s="15" t="s">
        <v>441</v>
      </c>
      <c r="C580" s="15" t="str">
        <f aca="false">IFERROR(INDEX('Method &amp; Notes'!$B$24:$B$34,MATCH(B580,'Method &amp; Notes'!$A$24:$A$34,0)),"")</f>
        <v>Handyman business guides</v>
      </c>
      <c r="D580" s="15" t="s">
        <v>445</v>
      </c>
      <c r="E580" s="16" t="s">
        <v>446</v>
      </c>
      <c r="F580" s="15" t="s">
        <v>1501</v>
      </c>
    </row>
    <row r="581" customFormat="false" ht="23.85" hidden="false" customHeight="false" outlineLevel="0" collapsed="false">
      <c r="A581" s="15" t="s">
        <v>262</v>
      </c>
      <c r="B581" s="15" t="s">
        <v>448</v>
      </c>
      <c r="C581" s="15" t="str">
        <f aca="false">IFERROR(INDEX('Method &amp; Notes'!$B$24:$B$34,MATCH(B581,'Method &amp; Notes'!$A$24:$A$34,0)),"")</f>
        <v>Warranty claims and inspections</v>
      </c>
      <c r="D581" s="15" t="s">
        <v>1257</v>
      </c>
      <c r="E581" s="16" t="s">
        <v>1258</v>
      </c>
      <c r="F581" s="15" t="s">
        <v>1502</v>
      </c>
    </row>
    <row r="582" customFormat="false" ht="23.85" hidden="false" customHeight="false" outlineLevel="0" collapsed="false">
      <c r="A582" s="15" t="s">
        <v>262</v>
      </c>
      <c r="B582" s="15" t="s">
        <v>477</v>
      </c>
      <c r="C582" s="15" t="str">
        <f aca="false">IFERROR(INDEX('Method &amp; Notes'!$B$24:$B$34,MATCH(B582,'Method &amp; Notes'!$A$24:$A$34,0)),"")</f>
        <v>Regional, seasonal and emerging demand</v>
      </c>
      <c r="D582" s="15" t="s">
        <v>1503</v>
      </c>
      <c r="E582" s="16" t="s">
        <v>1504</v>
      </c>
      <c r="F582" s="15" t="s">
        <v>1505</v>
      </c>
    </row>
    <row r="583" customFormat="false" ht="23.85" hidden="false" customHeight="false" outlineLevel="0" collapsed="false">
      <c r="A583" s="15" t="s">
        <v>262</v>
      </c>
      <c r="B583" s="15" t="s">
        <v>477</v>
      </c>
      <c r="C583" s="15" t="str">
        <f aca="false">IFERROR(INDEX('Method &amp; Notes'!$B$24:$B$34,MATCH(B583,'Method &amp; Notes'!$A$24:$A$34,0)),"")</f>
        <v>Regional, seasonal and emerging demand</v>
      </c>
      <c r="D583" s="15" t="s">
        <v>1506</v>
      </c>
      <c r="E583" s="16" t="s">
        <v>1507</v>
      </c>
      <c r="F583" s="15" t="s">
        <v>1508</v>
      </c>
    </row>
    <row r="584" customFormat="false" ht="23.85" hidden="false" customHeight="false" outlineLevel="0" collapsed="false">
      <c r="A584" s="15" t="s">
        <v>266</v>
      </c>
      <c r="B584" s="15" t="s">
        <v>452</v>
      </c>
      <c r="C584" s="15" t="str">
        <f aca="false">IFERROR(INDEX('Method &amp; Notes'!$B$24:$B$34,MATCH(B584,'Method &amp; Notes'!$A$24:$A$34,0)),"")</f>
        <v>DIY and how-to interest</v>
      </c>
      <c r="D584" s="15" t="s">
        <v>1509</v>
      </c>
      <c r="E584" s="16" t="s">
        <v>1510</v>
      </c>
      <c r="F584" s="15" t="s">
        <v>1511</v>
      </c>
    </row>
    <row r="585" customFormat="false" ht="23.85" hidden="false" customHeight="false" outlineLevel="0" collapsed="false">
      <c r="A585" s="15" t="s">
        <v>266</v>
      </c>
      <c r="B585" s="15" t="s">
        <v>452</v>
      </c>
      <c r="C585" s="15" t="str">
        <f aca="false">IFERROR(INDEX('Method &amp; Notes'!$B$24:$B$34,MATCH(B585,'Method &amp; Notes'!$A$24:$A$34,0)),"")</f>
        <v>DIY and how-to interest</v>
      </c>
      <c r="D585" s="15" t="s">
        <v>789</v>
      </c>
      <c r="E585" s="16" t="s">
        <v>790</v>
      </c>
      <c r="F585" s="15" t="s">
        <v>1512</v>
      </c>
    </row>
    <row r="586" customFormat="false" ht="23.85" hidden="false" customHeight="false" outlineLevel="0" collapsed="false">
      <c r="A586" s="15" t="s">
        <v>266</v>
      </c>
      <c r="B586" s="15" t="s">
        <v>459</v>
      </c>
      <c r="C586" s="15" t="str">
        <f aca="false">IFERROR(INDEX('Method &amp; Notes'!$B$24:$B$34,MATCH(B586,'Method &amp; Notes'!$A$24:$A$34,0)),"")</f>
        <v>Rental and property maintenance requests</v>
      </c>
      <c r="D586" s="15" t="s">
        <v>1005</v>
      </c>
      <c r="E586" s="16" t="s">
        <v>1006</v>
      </c>
      <c r="F586" s="15" t="s">
        <v>1513</v>
      </c>
    </row>
    <row r="587" customFormat="false" ht="15" hidden="false" customHeight="false" outlineLevel="0" collapsed="false">
      <c r="A587" s="15" t="s">
        <v>266</v>
      </c>
      <c r="B587" s="15" t="s">
        <v>467</v>
      </c>
      <c r="C587" s="15" t="str">
        <f aca="false">IFERROR(INDEX('Method &amp; Notes'!$B$24:$B$34,MATCH(B587,'Method &amp; Notes'!$A$24:$A$34,0)),"")</f>
        <v>Time, cost and scope guides</v>
      </c>
      <c r="D587" s="15" t="s">
        <v>496</v>
      </c>
      <c r="E587" s="16" t="s">
        <v>1163</v>
      </c>
      <c r="F587" s="15" t="s">
        <v>1514</v>
      </c>
    </row>
    <row r="588" customFormat="false" ht="23.85" hidden="false" customHeight="false" outlineLevel="0" collapsed="false">
      <c r="A588" s="15" t="s">
        <v>270</v>
      </c>
      <c r="B588" s="15" t="s">
        <v>452</v>
      </c>
      <c r="C588" s="15" t="str">
        <f aca="false">IFERROR(INDEX('Method &amp; Notes'!$B$24:$B$34,MATCH(B588,'Method &amp; Notes'!$A$24:$A$34,0)),"")</f>
        <v>DIY and how-to interest</v>
      </c>
      <c r="D588" s="15" t="s">
        <v>1515</v>
      </c>
      <c r="E588" s="16" t="s">
        <v>1516</v>
      </c>
      <c r="F588" s="15" t="s">
        <v>1517</v>
      </c>
    </row>
    <row r="589" customFormat="false" ht="23.85" hidden="false" customHeight="false" outlineLevel="0" collapsed="false">
      <c r="A589" s="15" t="s">
        <v>270</v>
      </c>
      <c r="B589" s="15" t="s">
        <v>459</v>
      </c>
      <c r="C589" s="15" t="str">
        <f aca="false">IFERROR(INDEX('Method &amp; Notes'!$B$24:$B$34,MATCH(B589,'Method &amp; Notes'!$A$24:$A$34,0)),"")</f>
        <v>Rental and property maintenance requests</v>
      </c>
      <c r="D589" s="15" t="s">
        <v>1005</v>
      </c>
      <c r="E589" s="16" t="s">
        <v>1006</v>
      </c>
      <c r="F589" s="15" t="s">
        <v>1518</v>
      </c>
    </row>
    <row r="590" customFormat="false" ht="23.85" hidden="false" customHeight="false" outlineLevel="0" collapsed="false">
      <c r="A590" s="15" t="s">
        <v>270</v>
      </c>
      <c r="B590" s="15" t="s">
        <v>459</v>
      </c>
      <c r="C590" s="15" t="str">
        <f aca="false">IFERROR(INDEX('Method &amp; Notes'!$B$24:$B$34,MATCH(B590,'Method &amp; Notes'!$A$24:$A$34,0)),"")</f>
        <v>Rental and property maintenance requests</v>
      </c>
      <c r="D590" s="15" t="s">
        <v>1065</v>
      </c>
      <c r="E590" s="16" t="s">
        <v>1066</v>
      </c>
      <c r="F590" s="15" t="s">
        <v>1519</v>
      </c>
    </row>
    <row r="591" customFormat="false" ht="23.85" hidden="false" customHeight="false" outlineLevel="0" collapsed="false">
      <c r="A591" s="15" t="s">
        <v>270</v>
      </c>
      <c r="B591" s="15" t="s">
        <v>477</v>
      </c>
      <c r="C591" s="15" t="str">
        <f aca="false">IFERROR(INDEX('Method &amp; Notes'!$B$24:$B$34,MATCH(B591,'Method &amp; Notes'!$A$24:$A$34,0)),"")</f>
        <v>Regional, seasonal and emerging demand</v>
      </c>
      <c r="D591" s="15" t="s">
        <v>483</v>
      </c>
      <c r="E591" s="16" t="s">
        <v>484</v>
      </c>
      <c r="F591" s="15" t="s">
        <v>1520</v>
      </c>
    </row>
    <row r="592" customFormat="false" ht="15" hidden="false" customHeight="false" outlineLevel="0" collapsed="false">
      <c r="A592" s="15" t="s">
        <v>274</v>
      </c>
      <c r="B592" s="15" t="s">
        <v>431</v>
      </c>
      <c r="C592" s="15" t="str">
        <f aca="false">IFERROR(INDEX('Method &amp; Notes'!$B$24:$B$34,MATCH(B592,'Method &amp; Notes'!$A$24:$A$34,0)),"")</f>
        <v>Marketplaces and booking platforms</v>
      </c>
      <c r="D592" s="15" t="s">
        <v>432</v>
      </c>
      <c r="E592" s="16" t="s">
        <v>1521</v>
      </c>
      <c r="F592" s="15" t="s">
        <v>1522</v>
      </c>
    </row>
    <row r="593" customFormat="false" ht="23.85" hidden="false" customHeight="false" outlineLevel="0" collapsed="false">
      <c r="A593" s="15" t="s">
        <v>274</v>
      </c>
      <c r="B593" s="15" t="s">
        <v>452</v>
      </c>
      <c r="C593" s="15" t="str">
        <f aca="false">IFERROR(INDEX('Method &amp; Notes'!$B$24:$B$34,MATCH(B593,'Method &amp; Notes'!$A$24:$A$34,0)),"")</f>
        <v>DIY and how-to interest</v>
      </c>
      <c r="D593" s="15" t="s">
        <v>971</v>
      </c>
      <c r="E593" s="16" t="s">
        <v>972</v>
      </c>
      <c r="F593" s="15" t="s">
        <v>1523</v>
      </c>
    </row>
    <row r="594" customFormat="false" ht="23.85" hidden="false" customHeight="false" outlineLevel="0" collapsed="false">
      <c r="A594" s="15" t="s">
        <v>274</v>
      </c>
      <c r="B594" s="15" t="s">
        <v>463</v>
      </c>
      <c r="C594" s="15" t="str">
        <f aca="false">IFERROR(INDEX('Method &amp; Notes'!$B$24:$B$34,MATCH(B594,'Method &amp; Notes'!$A$24:$A$34,0)),"")</f>
        <v>Memberships, concierge and retailer services</v>
      </c>
      <c r="D594" s="15" t="s">
        <v>1524</v>
      </c>
      <c r="E594" s="16" t="s">
        <v>1525</v>
      </c>
      <c r="F594" s="15" t="s">
        <v>1526</v>
      </c>
    </row>
    <row r="595" customFormat="false" ht="15" hidden="false" customHeight="false" outlineLevel="0" collapsed="false">
      <c r="A595" s="15" t="s">
        <v>105</v>
      </c>
      <c r="B595" s="15" t="s">
        <v>431</v>
      </c>
      <c r="C595" s="15" t="str">
        <f aca="false">IFERROR(INDEX('Method &amp; Notes'!$B$24:$B$34,MATCH(B595,'Method &amp; Notes'!$A$24:$A$34,0)),"")</f>
        <v>Marketplaces and booking platforms</v>
      </c>
      <c r="D595" s="15" t="s">
        <v>435</v>
      </c>
      <c r="E595" s="16" t="s">
        <v>569</v>
      </c>
      <c r="F595" s="15" t="s">
        <v>1527</v>
      </c>
    </row>
    <row r="596" customFormat="false" ht="15" hidden="false" customHeight="false" outlineLevel="0" collapsed="false">
      <c r="A596" s="15" t="s">
        <v>105</v>
      </c>
      <c r="B596" s="15" t="s">
        <v>448</v>
      </c>
      <c r="C596" s="15" t="str">
        <f aca="false">IFERROR(INDEX('Method &amp; Notes'!$B$24:$B$34,MATCH(B596,'Method &amp; Notes'!$A$24:$A$34,0)),"")</f>
        <v>Warranty claims and inspections</v>
      </c>
      <c r="D596" s="15" t="s">
        <v>576</v>
      </c>
      <c r="E596" s="16" t="s">
        <v>577</v>
      </c>
      <c r="F596" s="15" t="s">
        <v>1528</v>
      </c>
    </row>
    <row r="597" customFormat="false" ht="23.85" hidden="false" customHeight="false" outlineLevel="0" collapsed="false">
      <c r="A597" s="15" t="s">
        <v>105</v>
      </c>
      <c r="B597" s="15" t="s">
        <v>459</v>
      </c>
      <c r="C597" s="15" t="str">
        <f aca="false">IFERROR(INDEX('Method &amp; Notes'!$B$24:$B$34,MATCH(B597,'Method &amp; Notes'!$A$24:$A$34,0)),"")</f>
        <v>Rental and property maintenance requests</v>
      </c>
      <c r="D597" s="15" t="s">
        <v>1065</v>
      </c>
      <c r="E597" s="16" t="s">
        <v>1066</v>
      </c>
      <c r="F597" s="15" t="s">
        <v>1529</v>
      </c>
    </row>
    <row r="598" customFormat="false" ht="15" hidden="false" customHeight="false" outlineLevel="0" collapsed="false">
      <c r="A598" s="15" t="s">
        <v>280</v>
      </c>
      <c r="B598" s="15" t="s">
        <v>431</v>
      </c>
      <c r="C598" s="15" t="str">
        <f aca="false">IFERROR(INDEX('Method &amp; Notes'!$B$24:$B$34,MATCH(B598,'Method &amp; Notes'!$A$24:$A$34,0)),"")</f>
        <v>Marketplaces and booking platforms</v>
      </c>
      <c r="D598" s="15" t="s">
        <v>468</v>
      </c>
      <c r="E598" s="16" t="s">
        <v>1530</v>
      </c>
      <c r="F598" s="15" t="s">
        <v>1531</v>
      </c>
    </row>
    <row r="599" customFormat="false" ht="15" hidden="false" customHeight="false" outlineLevel="0" collapsed="false">
      <c r="A599" s="15" t="s">
        <v>280</v>
      </c>
      <c r="B599" s="15" t="s">
        <v>431</v>
      </c>
      <c r="C599" s="15" t="str">
        <f aca="false">IFERROR(INDEX('Method &amp; Notes'!$B$24:$B$34,MATCH(B599,'Method &amp; Notes'!$A$24:$A$34,0)),"")</f>
        <v>Marketplaces and booking platforms</v>
      </c>
      <c r="D599" s="15" t="s">
        <v>652</v>
      </c>
      <c r="E599" s="16" t="s">
        <v>1532</v>
      </c>
      <c r="F599" s="15" t="s">
        <v>1533</v>
      </c>
    </row>
    <row r="600" customFormat="false" ht="23.85" hidden="false" customHeight="false" outlineLevel="0" collapsed="false">
      <c r="A600" s="15" t="s">
        <v>280</v>
      </c>
      <c r="B600" s="15" t="s">
        <v>477</v>
      </c>
      <c r="C600" s="15" t="str">
        <f aca="false">IFERROR(INDEX('Method &amp; Notes'!$B$24:$B$34,MATCH(B600,'Method &amp; Notes'!$A$24:$A$34,0)),"")</f>
        <v>Regional, seasonal and emerging demand</v>
      </c>
      <c r="D600" s="15" t="s">
        <v>1534</v>
      </c>
      <c r="E600" s="16" t="s">
        <v>1535</v>
      </c>
      <c r="F600" s="15" t="s">
        <v>1536</v>
      </c>
    </row>
    <row r="601" customFormat="false" ht="23.85" hidden="false" customHeight="false" outlineLevel="0" collapsed="false">
      <c r="A601" s="15" t="s">
        <v>280</v>
      </c>
      <c r="B601" s="15" t="s">
        <v>477</v>
      </c>
      <c r="C601" s="15" t="str">
        <f aca="false">IFERROR(INDEX('Method &amp; Notes'!$B$24:$B$34,MATCH(B601,'Method &amp; Notes'!$A$24:$A$34,0)),"")</f>
        <v>Regional, seasonal and emerging demand</v>
      </c>
      <c r="D601" s="15" t="s">
        <v>1537</v>
      </c>
      <c r="E601" s="16" t="s">
        <v>1538</v>
      </c>
      <c r="F601" s="15" t="s">
        <v>1539</v>
      </c>
    </row>
    <row r="602" customFormat="false" ht="23.85" hidden="false" customHeight="false" outlineLevel="0" collapsed="false">
      <c r="A602" s="15" t="s">
        <v>283</v>
      </c>
      <c r="B602" s="15" t="s">
        <v>431</v>
      </c>
      <c r="C602" s="15" t="str">
        <f aca="false">IFERROR(INDEX('Method &amp; Notes'!$B$24:$B$34,MATCH(B602,'Method &amp; Notes'!$A$24:$A$34,0)),"")</f>
        <v>Marketplaces and booking platforms</v>
      </c>
      <c r="D602" s="15" t="s">
        <v>619</v>
      </c>
      <c r="E602" s="16" t="s">
        <v>620</v>
      </c>
      <c r="F602" s="15" t="s">
        <v>1540</v>
      </c>
    </row>
    <row r="603" customFormat="false" ht="15" hidden="false" customHeight="false" outlineLevel="0" collapsed="false">
      <c r="A603" s="15" t="s">
        <v>283</v>
      </c>
      <c r="B603" s="15" t="s">
        <v>431</v>
      </c>
      <c r="C603" s="15" t="str">
        <f aca="false">IFERROR(INDEX('Method &amp; Notes'!$B$24:$B$34,MATCH(B603,'Method &amp; Notes'!$A$24:$A$34,0)),"")</f>
        <v>Marketplaces and booking platforms</v>
      </c>
      <c r="D603" s="15" t="s">
        <v>941</v>
      </c>
      <c r="E603" s="16" t="s">
        <v>942</v>
      </c>
      <c r="F603" s="15" t="s">
        <v>1541</v>
      </c>
    </row>
    <row r="604" customFormat="false" ht="23.85" hidden="false" customHeight="false" outlineLevel="0" collapsed="false">
      <c r="A604" s="15" t="s">
        <v>283</v>
      </c>
      <c r="B604" s="15" t="s">
        <v>463</v>
      </c>
      <c r="C604" s="15" t="str">
        <f aca="false">IFERROR(INDEX('Method &amp; Notes'!$B$24:$B$34,MATCH(B604,'Method &amp; Notes'!$A$24:$A$34,0)),"")</f>
        <v>Memberships, concierge and retailer services</v>
      </c>
      <c r="D604" s="15" t="s">
        <v>947</v>
      </c>
      <c r="E604" s="16" t="s">
        <v>948</v>
      </c>
      <c r="F604" s="15" t="s">
        <v>1119</v>
      </c>
    </row>
    <row r="605" customFormat="false" ht="15" hidden="false" customHeight="false" outlineLevel="0" collapsed="false">
      <c r="A605" s="15" t="s">
        <v>286</v>
      </c>
      <c r="B605" s="15" t="s">
        <v>431</v>
      </c>
      <c r="C605" s="15" t="str">
        <f aca="false">IFERROR(INDEX('Method &amp; Notes'!$B$24:$B$34,MATCH(B605,'Method &amp; Notes'!$A$24:$A$34,0)),"")</f>
        <v>Marketplaces and booking platforms</v>
      </c>
      <c r="D605" s="15" t="s">
        <v>468</v>
      </c>
      <c r="E605" s="16" t="s">
        <v>1107</v>
      </c>
      <c r="F605" s="15" t="s">
        <v>1542</v>
      </c>
    </row>
    <row r="606" customFormat="false" ht="23.85" hidden="false" customHeight="false" outlineLevel="0" collapsed="false">
      <c r="A606" s="15" t="s">
        <v>286</v>
      </c>
      <c r="B606" s="15" t="s">
        <v>463</v>
      </c>
      <c r="C606" s="15" t="str">
        <f aca="false">IFERROR(INDEX('Method &amp; Notes'!$B$24:$B$34,MATCH(B606,'Method &amp; Notes'!$A$24:$A$34,0)),"")</f>
        <v>Memberships, concierge and retailer services</v>
      </c>
      <c r="D606" s="15" t="s">
        <v>1315</v>
      </c>
      <c r="E606" s="16" t="s">
        <v>1316</v>
      </c>
      <c r="F606" s="15" t="s">
        <v>1543</v>
      </c>
    </row>
    <row r="607" customFormat="false" ht="23.85" hidden="false" customHeight="false" outlineLevel="0" collapsed="false">
      <c r="A607" s="15" t="s">
        <v>286</v>
      </c>
      <c r="B607" s="15" t="s">
        <v>463</v>
      </c>
      <c r="C607" s="15" t="str">
        <f aca="false">IFERROR(INDEX('Method &amp; Notes'!$B$24:$B$34,MATCH(B607,'Method &amp; Notes'!$A$24:$A$34,0)),"")</f>
        <v>Memberships, concierge and retailer services</v>
      </c>
      <c r="D607" s="15" t="s">
        <v>1544</v>
      </c>
      <c r="E607" s="16" t="s">
        <v>1545</v>
      </c>
      <c r="F607" s="15" t="s">
        <v>1546</v>
      </c>
    </row>
    <row r="608" customFormat="false" ht="15" hidden="false" customHeight="false" outlineLevel="0" collapsed="false">
      <c r="A608" s="15" t="s">
        <v>290</v>
      </c>
      <c r="B608" s="15" t="s">
        <v>441</v>
      </c>
      <c r="C608" s="15" t="str">
        <f aca="false">IFERROR(INDEX('Method &amp; Notes'!$B$24:$B$34,MATCH(B608,'Method &amp; Notes'!$A$24:$A$34,0)),"")</f>
        <v>Handyman business guides</v>
      </c>
      <c r="D608" s="15" t="s">
        <v>625</v>
      </c>
      <c r="E608" s="16" t="s">
        <v>626</v>
      </c>
      <c r="F608" s="15" t="s">
        <v>1547</v>
      </c>
    </row>
    <row r="609" customFormat="false" ht="23.85" hidden="false" customHeight="false" outlineLevel="0" collapsed="false">
      <c r="A609" s="15" t="s">
        <v>290</v>
      </c>
      <c r="B609" s="15" t="s">
        <v>463</v>
      </c>
      <c r="C609" s="15" t="str">
        <f aca="false">IFERROR(INDEX('Method &amp; Notes'!$B$24:$B$34,MATCH(B609,'Method &amp; Notes'!$A$24:$A$34,0)),"")</f>
        <v>Memberships, concierge and retailer services</v>
      </c>
      <c r="D609" s="15" t="s">
        <v>1548</v>
      </c>
      <c r="E609" s="16" t="s">
        <v>1549</v>
      </c>
      <c r="F609" s="15" t="s">
        <v>1550</v>
      </c>
    </row>
    <row r="610" customFormat="false" ht="23.85" hidden="false" customHeight="false" outlineLevel="0" collapsed="false">
      <c r="A610" s="15" t="s">
        <v>290</v>
      </c>
      <c r="B610" s="15" t="s">
        <v>463</v>
      </c>
      <c r="C610" s="15" t="str">
        <f aca="false">IFERROR(INDEX('Method &amp; Notes'!$B$24:$B$34,MATCH(B610,'Method &amp; Notes'!$A$24:$A$34,0)),"")</f>
        <v>Memberships, concierge and retailer services</v>
      </c>
      <c r="D610" s="15" t="s">
        <v>740</v>
      </c>
      <c r="E610" s="16" t="s">
        <v>741</v>
      </c>
      <c r="F610" s="15" t="s">
        <v>1551</v>
      </c>
    </row>
    <row r="611" customFormat="false" ht="15" hidden="false" customHeight="false" outlineLevel="0" collapsed="false">
      <c r="A611" s="15" t="s">
        <v>294</v>
      </c>
      <c r="B611" s="15" t="s">
        <v>441</v>
      </c>
      <c r="C611" s="15" t="str">
        <f aca="false">IFERROR(INDEX('Method &amp; Notes'!$B$24:$B$34,MATCH(B611,'Method &amp; Notes'!$A$24:$A$34,0)),"")</f>
        <v>Handyman business guides</v>
      </c>
      <c r="D611" s="15" t="s">
        <v>496</v>
      </c>
      <c r="E611" s="16" t="s">
        <v>1552</v>
      </c>
      <c r="F611" s="15" t="s">
        <v>1553</v>
      </c>
    </row>
    <row r="612" customFormat="false" ht="15" hidden="false" customHeight="false" outlineLevel="0" collapsed="false">
      <c r="A612" s="15" t="s">
        <v>294</v>
      </c>
      <c r="B612" s="15" t="s">
        <v>441</v>
      </c>
      <c r="C612" s="15" t="str">
        <f aca="false">IFERROR(INDEX('Method &amp; Notes'!$B$24:$B$34,MATCH(B612,'Method &amp; Notes'!$A$24:$A$34,0)),"")</f>
        <v>Handyman business guides</v>
      </c>
      <c r="D612" s="15" t="s">
        <v>496</v>
      </c>
      <c r="E612" s="16" t="s">
        <v>1554</v>
      </c>
      <c r="F612" s="15" t="s">
        <v>1555</v>
      </c>
    </row>
    <row r="613" customFormat="false" ht="23.85" hidden="false" customHeight="false" outlineLevel="0" collapsed="false">
      <c r="A613" s="15" t="s">
        <v>294</v>
      </c>
      <c r="B613" s="15" t="s">
        <v>459</v>
      </c>
      <c r="C613" s="15" t="str">
        <f aca="false">IFERROR(INDEX('Method &amp; Notes'!$B$24:$B$34,MATCH(B613,'Method &amp; Notes'!$A$24:$A$34,0)),"")</f>
        <v>Rental and property maintenance requests</v>
      </c>
      <c r="D613" s="15" t="s">
        <v>1332</v>
      </c>
      <c r="E613" s="16" t="s">
        <v>1333</v>
      </c>
      <c r="F613" s="15" t="s">
        <v>1556</v>
      </c>
    </row>
    <row r="614" customFormat="false" ht="15" hidden="false" customHeight="false" outlineLevel="0" collapsed="false">
      <c r="A614" s="15" t="s">
        <v>298</v>
      </c>
      <c r="B614" s="15" t="s">
        <v>448</v>
      </c>
      <c r="C614" s="15" t="str">
        <f aca="false">IFERROR(INDEX('Method &amp; Notes'!$B$24:$B$34,MATCH(B614,'Method &amp; Notes'!$A$24:$A$34,0)),"")</f>
        <v>Warranty claims and inspections</v>
      </c>
      <c r="D614" s="15" t="s">
        <v>576</v>
      </c>
      <c r="E614" s="16" t="s">
        <v>577</v>
      </c>
      <c r="F614" s="15" t="s">
        <v>1557</v>
      </c>
    </row>
    <row r="615" customFormat="false" ht="35.05" hidden="false" customHeight="false" outlineLevel="0" collapsed="false">
      <c r="A615" s="15" t="s">
        <v>298</v>
      </c>
      <c r="B615" s="15" t="s">
        <v>452</v>
      </c>
      <c r="C615" s="15" t="str">
        <f aca="false">IFERROR(INDEX('Method &amp; Notes'!$B$24:$B$34,MATCH(B615,'Method &amp; Notes'!$A$24:$A$34,0)),"")</f>
        <v>DIY and how-to interest</v>
      </c>
      <c r="D615" s="15" t="s">
        <v>1260</v>
      </c>
      <c r="E615" s="16" t="s">
        <v>1261</v>
      </c>
      <c r="F615" s="15" t="s">
        <v>1558</v>
      </c>
    </row>
    <row r="616" customFormat="false" ht="23.85" hidden="false" customHeight="false" outlineLevel="0" collapsed="false">
      <c r="A616" s="15" t="s">
        <v>298</v>
      </c>
      <c r="B616" s="15" t="s">
        <v>452</v>
      </c>
      <c r="C616" s="15" t="str">
        <f aca="false">IFERROR(INDEX('Method &amp; Notes'!$B$24:$B$34,MATCH(B616,'Method &amp; Notes'!$A$24:$A$34,0)),"")</f>
        <v>DIY and how-to interest</v>
      </c>
      <c r="D616" s="15" t="s">
        <v>789</v>
      </c>
      <c r="E616" s="16" t="s">
        <v>790</v>
      </c>
      <c r="F616" s="15" t="s">
        <v>1559</v>
      </c>
    </row>
    <row r="617" customFormat="false" ht="23.85" hidden="false" customHeight="false" outlineLevel="0" collapsed="false">
      <c r="A617" s="15" t="s">
        <v>301</v>
      </c>
      <c r="B617" s="15" t="s">
        <v>463</v>
      </c>
      <c r="C617" s="15" t="str">
        <f aca="false">IFERROR(INDEX('Method &amp; Notes'!$B$24:$B$34,MATCH(B617,'Method &amp; Notes'!$A$24:$A$34,0)),"")</f>
        <v>Memberships, concierge and retailer services</v>
      </c>
      <c r="D617" s="15" t="s">
        <v>1220</v>
      </c>
      <c r="E617" s="16" t="s">
        <v>1221</v>
      </c>
      <c r="F617" s="15" t="s">
        <v>1560</v>
      </c>
    </row>
    <row r="618" customFormat="false" ht="23.85" hidden="false" customHeight="false" outlineLevel="0" collapsed="false">
      <c r="A618" s="15" t="s">
        <v>301</v>
      </c>
      <c r="B618" s="15" t="s">
        <v>463</v>
      </c>
      <c r="C618" s="15" t="str">
        <f aca="false">IFERROR(INDEX('Method &amp; Notes'!$B$24:$B$34,MATCH(B618,'Method &amp; Notes'!$A$24:$A$34,0)),"")</f>
        <v>Memberships, concierge and retailer services</v>
      </c>
      <c r="D618" s="15" t="s">
        <v>1561</v>
      </c>
      <c r="E618" s="16" t="s">
        <v>1562</v>
      </c>
      <c r="F618" s="15" t="s">
        <v>1563</v>
      </c>
    </row>
    <row r="619" customFormat="false" ht="23.85" hidden="false" customHeight="false" outlineLevel="0" collapsed="false">
      <c r="A619" s="15" t="s">
        <v>301</v>
      </c>
      <c r="B619" s="15" t="s">
        <v>477</v>
      </c>
      <c r="C619" s="15" t="str">
        <f aca="false">IFERROR(INDEX('Method &amp; Notes'!$B$24:$B$34,MATCH(B619,'Method &amp; Notes'!$A$24:$A$34,0)),"")</f>
        <v>Regional, seasonal and emerging demand</v>
      </c>
      <c r="D619" s="15" t="s">
        <v>1564</v>
      </c>
      <c r="E619" s="16" t="s">
        <v>1565</v>
      </c>
      <c r="F619" s="15" t="s">
        <v>1566</v>
      </c>
    </row>
    <row r="620" customFormat="false" ht="15" hidden="false" customHeight="false" outlineLevel="0" collapsed="false">
      <c r="A620" s="15" t="s">
        <v>305</v>
      </c>
      <c r="B620" s="15" t="s">
        <v>431</v>
      </c>
      <c r="C620" s="15" t="str">
        <f aca="false">IFERROR(INDEX('Method &amp; Notes'!$B$24:$B$34,MATCH(B620,'Method &amp; Notes'!$A$24:$A$34,0)),"")</f>
        <v>Marketplaces and booking platforms</v>
      </c>
      <c r="D620" s="15" t="s">
        <v>468</v>
      </c>
      <c r="E620" s="16" t="s">
        <v>1530</v>
      </c>
      <c r="F620" s="15" t="s">
        <v>1567</v>
      </c>
    </row>
    <row r="621" customFormat="false" ht="15" hidden="false" customHeight="false" outlineLevel="0" collapsed="false">
      <c r="A621" s="15" t="s">
        <v>305</v>
      </c>
      <c r="B621" s="15" t="s">
        <v>431</v>
      </c>
      <c r="C621" s="15" t="str">
        <f aca="false">IFERROR(INDEX('Method &amp; Notes'!$B$24:$B$34,MATCH(B621,'Method &amp; Notes'!$A$24:$A$34,0)),"")</f>
        <v>Marketplaces and booking platforms</v>
      </c>
      <c r="D621" s="15" t="s">
        <v>652</v>
      </c>
      <c r="E621" s="16" t="s">
        <v>1532</v>
      </c>
      <c r="F621" s="15" t="s">
        <v>1568</v>
      </c>
    </row>
    <row r="622" customFormat="false" ht="23.85" hidden="false" customHeight="false" outlineLevel="0" collapsed="false">
      <c r="A622" s="15" t="s">
        <v>305</v>
      </c>
      <c r="B622" s="15" t="s">
        <v>467</v>
      </c>
      <c r="C622" s="15" t="str">
        <f aca="false">IFERROR(INDEX('Method &amp; Notes'!$B$24:$B$34,MATCH(B622,'Method &amp; Notes'!$A$24:$A$34,0)),"")</f>
        <v>Time, cost and scope guides</v>
      </c>
      <c r="D622" s="15" t="s">
        <v>1569</v>
      </c>
      <c r="E622" s="16" t="s">
        <v>1570</v>
      </c>
      <c r="F622" s="15" t="s">
        <v>1571</v>
      </c>
    </row>
    <row r="623" customFormat="false" ht="23.85" hidden="false" customHeight="false" outlineLevel="0" collapsed="false">
      <c r="A623" s="15" t="s">
        <v>308</v>
      </c>
      <c r="B623" s="15" t="s">
        <v>463</v>
      </c>
      <c r="C623" s="15" t="str">
        <f aca="false">IFERROR(INDEX('Method &amp; Notes'!$B$24:$B$34,MATCH(B623,'Method &amp; Notes'!$A$24:$A$34,0)),"")</f>
        <v>Memberships, concierge and retailer services</v>
      </c>
      <c r="D623" s="15" t="s">
        <v>1572</v>
      </c>
      <c r="E623" s="16" t="s">
        <v>1573</v>
      </c>
      <c r="F623" s="15" t="s">
        <v>1574</v>
      </c>
    </row>
    <row r="624" customFormat="false" ht="23.85" hidden="false" customHeight="false" outlineLevel="0" collapsed="false">
      <c r="A624" s="15" t="s">
        <v>308</v>
      </c>
      <c r="B624" s="15" t="s">
        <v>463</v>
      </c>
      <c r="C624" s="15" t="str">
        <f aca="false">IFERROR(INDEX('Method &amp; Notes'!$B$24:$B$34,MATCH(B624,'Method &amp; Notes'!$A$24:$A$34,0)),"")</f>
        <v>Memberships, concierge and retailer services</v>
      </c>
      <c r="D624" s="15" t="s">
        <v>740</v>
      </c>
      <c r="E624" s="16" t="s">
        <v>741</v>
      </c>
      <c r="F624" s="15" t="s">
        <v>1575</v>
      </c>
    </row>
    <row r="625" customFormat="false" ht="23.85" hidden="false" customHeight="false" outlineLevel="0" collapsed="false">
      <c r="A625" s="15" t="s">
        <v>308</v>
      </c>
      <c r="B625" s="15" t="s">
        <v>477</v>
      </c>
      <c r="C625" s="15" t="str">
        <f aca="false">IFERROR(INDEX('Method &amp; Notes'!$B$24:$B$34,MATCH(B625,'Method &amp; Notes'!$A$24:$A$34,0)),"")</f>
        <v>Regional, seasonal and emerging demand</v>
      </c>
      <c r="D625" s="15" t="s">
        <v>483</v>
      </c>
      <c r="E625" s="16" t="s">
        <v>484</v>
      </c>
      <c r="F625" s="15" t="s">
        <v>1033</v>
      </c>
    </row>
    <row r="626" customFormat="false" ht="15" hidden="false" customHeight="false" outlineLevel="0" collapsed="false">
      <c r="A626" s="15" t="s">
        <v>312</v>
      </c>
      <c r="B626" s="15" t="s">
        <v>431</v>
      </c>
      <c r="C626" s="15" t="str">
        <f aca="false">IFERROR(INDEX('Method &amp; Notes'!$B$24:$B$34,MATCH(B626,'Method &amp; Notes'!$A$24:$A$34,0)),"")</f>
        <v>Marketplaces and booking platforms</v>
      </c>
      <c r="D626" s="15" t="s">
        <v>619</v>
      </c>
      <c r="E626" s="16" t="s">
        <v>1576</v>
      </c>
      <c r="F626" s="15" t="s">
        <v>1577</v>
      </c>
    </row>
    <row r="627" customFormat="false" ht="15" hidden="false" customHeight="false" outlineLevel="0" collapsed="false">
      <c r="A627" s="15" t="s">
        <v>312</v>
      </c>
      <c r="B627" s="15" t="s">
        <v>431</v>
      </c>
      <c r="C627" s="15" t="str">
        <f aca="false">IFERROR(INDEX('Method &amp; Notes'!$B$24:$B$34,MATCH(B627,'Method &amp; Notes'!$A$24:$A$34,0)),"")</f>
        <v>Marketplaces and booking platforms</v>
      </c>
      <c r="D627" s="15" t="s">
        <v>468</v>
      </c>
      <c r="E627" s="16" t="s">
        <v>1578</v>
      </c>
      <c r="F627" s="15" t="s">
        <v>1579</v>
      </c>
    </row>
    <row r="628" customFormat="false" ht="15" hidden="false" customHeight="false" outlineLevel="0" collapsed="false">
      <c r="A628" s="15" t="s">
        <v>312</v>
      </c>
      <c r="B628" s="15" t="s">
        <v>467</v>
      </c>
      <c r="C628" s="15" t="str">
        <f aca="false">IFERROR(INDEX('Method &amp; Notes'!$B$24:$B$34,MATCH(B628,'Method &amp; Notes'!$A$24:$A$34,0)),"")</f>
        <v>Time, cost and scope guides</v>
      </c>
      <c r="D628" s="15" t="s">
        <v>1123</v>
      </c>
      <c r="E628" s="16" t="s">
        <v>1124</v>
      </c>
      <c r="F628" s="15" t="s">
        <v>1580</v>
      </c>
    </row>
    <row r="629" customFormat="false" ht="23.85" hidden="false" customHeight="false" outlineLevel="0" collapsed="false">
      <c r="A629" s="15" t="s">
        <v>315</v>
      </c>
      <c r="B629" s="15" t="s">
        <v>452</v>
      </c>
      <c r="C629" s="15" t="str">
        <f aca="false">IFERROR(INDEX('Method &amp; Notes'!$B$24:$B$34,MATCH(B629,'Method &amp; Notes'!$A$24:$A$34,0)),"")</f>
        <v>DIY and how-to interest</v>
      </c>
      <c r="D629" s="15" t="s">
        <v>967</v>
      </c>
      <c r="E629" s="16" t="s">
        <v>968</v>
      </c>
      <c r="F629" s="15" t="s">
        <v>1581</v>
      </c>
    </row>
    <row r="630" customFormat="false" ht="35.05" hidden="false" customHeight="false" outlineLevel="0" collapsed="false">
      <c r="A630" s="15" t="s">
        <v>315</v>
      </c>
      <c r="B630" s="15" t="s">
        <v>452</v>
      </c>
      <c r="C630" s="15" t="str">
        <f aca="false">IFERROR(INDEX('Method &amp; Notes'!$B$24:$B$34,MATCH(B630,'Method &amp; Notes'!$A$24:$A$34,0)),"")</f>
        <v>DIY and how-to interest</v>
      </c>
      <c r="D630" s="15" t="s">
        <v>731</v>
      </c>
      <c r="E630" s="16" t="s">
        <v>732</v>
      </c>
      <c r="F630" s="15" t="s">
        <v>1582</v>
      </c>
    </row>
    <row r="631" customFormat="false" ht="23.85" hidden="false" customHeight="false" outlineLevel="0" collapsed="false">
      <c r="A631" s="15" t="s">
        <v>315</v>
      </c>
      <c r="B631" s="15" t="s">
        <v>477</v>
      </c>
      <c r="C631" s="15" t="str">
        <f aca="false">IFERROR(INDEX('Method &amp; Notes'!$B$24:$B$34,MATCH(B631,'Method &amp; Notes'!$A$24:$A$34,0)),"")</f>
        <v>Regional, seasonal and emerging demand</v>
      </c>
      <c r="D631" s="15" t="s">
        <v>1447</v>
      </c>
      <c r="E631" s="16" t="s">
        <v>1448</v>
      </c>
      <c r="F631" s="15" t="s">
        <v>1449</v>
      </c>
    </row>
    <row r="632" customFormat="false" ht="15" hidden="false" customHeight="false" outlineLevel="0" collapsed="false">
      <c r="A632" s="15" t="s">
        <v>319</v>
      </c>
      <c r="B632" s="15" t="s">
        <v>441</v>
      </c>
      <c r="C632" s="15" t="str">
        <f aca="false">IFERROR(INDEX('Method &amp; Notes'!$B$24:$B$34,MATCH(B632,'Method &amp; Notes'!$A$24:$A$34,0)),"")</f>
        <v>Handyman business guides</v>
      </c>
      <c r="D632" s="15" t="s">
        <v>496</v>
      </c>
      <c r="E632" s="16" t="s">
        <v>1583</v>
      </c>
      <c r="F632" s="15" t="s">
        <v>1584</v>
      </c>
    </row>
    <row r="633" customFormat="false" ht="23.85" hidden="false" customHeight="false" outlineLevel="0" collapsed="false">
      <c r="A633" s="15" t="s">
        <v>319</v>
      </c>
      <c r="B633" s="15" t="s">
        <v>463</v>
      </c>
      <c r="C633" s="15" t="str">
        <f aca="false">IFERROR(INDEX('Method &amp; Notes'!$B$24:$B$34,MATCH(B633,'Method &amp; Notes'!$A$24:$A$34,0)),"")</f>
        <v>Memberships, concierge and retailer services</v>
      </c>
      <c r="D633" s="15" t="s">
        <v>598</v>
      </c>
      <c r="E633" s="16" t="s">
        <v>599</v>
      </c>
      <c r="F633" s="15" t="s">
        <v>1585</v>
      </c>
    </row>
    <row r="634" customFormat="false" ht="23.85" hidden="false" customHeight="false" outlineLevel="0" collapsed="false">
      <c r="A634" s="15" t="s">
        <v>323</v>
      </c>
      <c r="B634" s="15" t="s">
        <v>441</v>
      </c>
      <c r="C634" s="15" t="str">
        <f aca="false">IFERROR(INDEX('Method &amp; Notes'!$B$24:$B$34,MATCH(B634,'Method &amp; Notes'!$A$24:$A$34,0)),"")</f>
        <v>Handyman business guides</v>
      </c>
      <c r="D634" s="15" t="s">
        <v>622</v>
      </c>
      <c r="E634" s="16" t="s">
        <v>623</v>
      </c>
      <c r="F634" s="15" t="s">
        <v>1586</v>
      </c>
    </row>
    <row r="635" customFormat="false" ht="15" hidden="false" customHeight="false" outlineLevel="0" collapsed="false">
      <c r="A635" s="15" t="s">
        <v>323</v>
      </c>
      <c r="B635" s="15" t="s">
        <v>448</v>
      </c>
      <c r="C635" s="15" t="str">
        <f aca="false">IFERROR(INDEX('Method &amp; Notes'!$B$24:$B$34,MATCH(B635,'Method &amp; Notes'!$A$24:$A$34,0)),"")</f>
        <v>Warranty claims and inspections</v>
      </c>
      <c r="D635" s="15" t="s">
        <v>964</v>
      </c>
      <c r="E635" s="16" t="s">
        <v>965</v>
      </c>
      <c r="F635" s="15" t="s">
        <v>1587</v>
      </c>
    </row>
    <row r="636" customFormat="false" ht="23.85" hidden="false" customHeight="false" outlineLevel="0" collapsed="false">
      <c r="A636" s="15" t="s">
        <v>327</v>
      </c>
      <c r="B636" s="15" t="s">
        <v>448</v>
      </c>
      <c r="C636" s="15" t="str">
        <f aca="false">IFERROR(INDEX('Method &amp; Notes'!$B$24:$B$34,MATCH(B636,'Method &amp; Notes'!$A$24:$A$34,0)),"")</f>
        <v>Warranty claims and inspections</v>
      </c>
      <c r="D636" s="15" t="s">
        <v>1207</v>
      </c>
      <c r="E636" s="16" t="s">
        <v>1208</v>
      </c>
      <c r="F636" s="15" t="s">
        <v>1588</v>
      </c>
    </row>
    <row r="637" customFormat="false" ht="23.85" hidden="false" customHeight="false" outlineLevel="0" collapsed="false">
      <c r="A637" s="15" t="s">
        <v>327</v>
      </c>
      <c r="B637" s="15" t="s">
        <v>463</v>
      </c>
      <c r="C637" s="15" t="str">
        <f aca="false">IFERROR(INDEX('Method &amp; Notes'!$B$24:$B$34,MATCH(B637,'Method &amp; Notes'!$A$24:$A$34,0)),"")</f>
        <v>Memberships, concierge and retailer services</v>
      </c>
      <c r="D637" s="15" t="s">
        <v>1277</v>
      </c>
      <c r="E637" s="16" t="s">
        <v>1278</v>
      </c>
      <c r="F637" s="15" t="s">
        <v>1589</v>
      </c>
    </row>
    <row r="638" customFormat="false" ht="15" hidden="false" customHeight="false" outlineLevel="0" collapsed="false">
      <c r="A638" s="15" t="s">
        <v>330</v>
      </c>
      <c r="B638" s="15" t="s">
        <v>448</v>
      </c>
      <c r="C638" s="15" t="str">
        <f aca="false">IFERROR(INDEX('Method &amp; Notes'!$B$24:$B$34,MATCH(B638,'Method &amp; Notes'!$A$24:$A$34,0)),"")</f>
        <v>Warranty claims and inspections</v>
      </c>
      <c r="D638" s="15" t="s">
        <v>628</v>
      </c>
      <c r="E638" s="16" t="s">
        <v>629</v>
      </c>
      <c r="F638" s="15" t="s">
        <v>1590</v>
      </c>
    </row>
    <row r="639" customFormat="false" ht="23.85" hidden="false" customHeight="false" outlineLevel="0" collapsed="false">
      <c r="A639" s="15" t="s">
        <v>330</v>
      </c>
      <c r="B639" s="15" t="s">
        <v>452</v>
      </c>
      <c r="C639" s="15" t="str">
        <f aca="false">IFERROR(INDEX('Method &amp; Notes'!$B$24:$B$34,MATCH(B639,'Method &amp; Notes'!$A$24:$A$34,0)),"")</f>
        <v>DIY and how-to interest</v>
      </c>
      <c r="D639" s="15" t="s">
        <v>892</v>
      </c>
      <c r="E639" s="16" t="s">
        <v>893</v>
      </c>
      <c r="F639" s="15" t="s">
        <v>1591</v>
      </c>
    </row>
    <row r="640" customFormat="false" ht="15" hidden="false" customHeight="false" outlineLevel="0" collapsed="false">
      <c r="A640" s="15" t="s">
        <v>334</v>
      </c>
      <c r="B640" s="15" t="s">
        <v>441</v>
      </c>
      <c r="C640" s="15" t="str">
        <f aca="false">IFERROR(INDEX('Method &amp; Notes'!$B$24:$B$34,MATCH(B640,'Method &amp; Notes'!$A$24:$A$34,0)),"")</f>
        <v>Handyman business guides</v>
      </c>
      <c r="D640" s="15" t="s">
        <v>843</v>
      </c>
      <c r="E640" s="16" t="s">
        <v>844</v>
      </c>
      <c r="F640" s="15" t="s">
        <v>1592</v>
      </c>
    </row>
    <row r="641" customFormat="false" ht="35.05" hidden="false" customHeight="false" outlineLevel="0" collapsed="false">
      <c r="A641" s="15" t="s">
        <v>334</v>
      </c>
      <c r="B641" s="15" t="s">
        <v>452</v>
      </c>
      <c r="C641" s="15" t="str">
        <f aca="false">IFERROR(INDEX('Method &amp; Notes'!$B$24:$B$34,MATCH(B641,'Method &amp; Notes'!$A$24:$A$34,0)),"")</f>
        <v>DIY and how-to interest</v>
      </c>
      <c r="D641" s="15" t="s">
        <v>731</v>
      </c>
      <c r="E641" s="16" t="s">
        <v>732</v>
      </c>
      <c r="F641" s="15" t="s">
        <v>1593</v>
      </c>
    </row>
    <row r="642" customFormat="false" ht="15" hidden="false" customHeight="false" outlineLevel="0" collapsed="false">
      <c r="A642" s="15" t="s">
        <v>338</v>
      </c>
      <c r="B642" s="15" t="s">
        <v>448</v>
      </c>
      <c r="C642" s="15" t="str">
        <f aca="false">IFERROR(INDEX('Method &amp; Notes'!$B$24:$B$34,MATCH(B642,'Method &amp; Notes'!$A$24:$A$34,0)),"")</f>
        <v>Warranty claims and inspections</v>
      </c>
      <c r="D642" s="15" t="s">
        <v>545</v>
      </c>
      <c r="E642" s="16" t="s">
        <v>546</v>
      </c>
      <c r="F642" s="15" t="s">
        <v>1594</v>
      </c>
    </row>
    <row r="643" customFormat="false" ht="23.85" hidden="false" customHeight="false" outlineLevel="0" collapsed="false">
      <c r="A643" s="15" t="s">
        <v>338</v>
      </c>
      <c r="B643" s="15" t="s">
        <v>452</v>
      </c>
      <c r="C643" s="15" t="str">
        <f aca="false">IFERROR(INDEX('Method &amp; Notes'!$B$24:$B$34,MATCH(B643,'Method &amp; Notes'!$A$24:$A$34,0)),"")</f>
        <v>DIY and how-to interest</v>
      </c>
      <c r="D643" s="15" t="s">
        <v>1426</v>
      </c>
      <c r="E643" s="16" t="s">
        <v>1427</v>
      </c>
      <c r="F643" s="15" t="s">
        <v>1595</v>
      </c>
    </row>
    <row r="644" customFormat="false" ht="15" hidden="false" customHeight="false" outlineLevel="0" collapsed="false">
      <c r="A644" s="15" t="s">
        <v>342</v>
      </c>
      <c r="B644" s="15" t="s">
        <v>448</v>
      </c>
      <c r="C644" s="15" t="str">
        <f aca="false">IFERROR(INDEX('Method &amp; Notes'!$B$24:$B$34,MATCH(B644,'Method &amp; Notes'!$A$24:$A$34,0)),"")</f>
        <v>Warranty claims and inspections</v>
      </c>
      <c r="D644" s="15" t="s">
        <v>576</v>
      </c>
      <c r="E644" s="16" t="s">
        <v>577</v>
      </c>
      <c r="F644" s="15" t="s">
        <v>1596</v>
      </c>
    </row>
    <row r="645" customFormat="false" ht="23.85" hidden="false" customHeight="false" outlineLevel="0" collapsed="false">
      <c r="A645" s="15" t="s">
        <v>342</v>
      </c>
      <c r="B645" s="15" t="s">
        <v>459</v>
      </c>
      <c r="C645" s="15" t="str">
        <f aca="false">IFERROR(INDEX('Method &amp; Notes'!$B$24:$B$34,MATCH(B645,'Method &amp; Notes'!$A$24:$A$34,0)),"")</f>
        <v>Rental and property maintenance requests</v>
      </c>
      <c r="D645" s="15" t="s">
        <v>592</v>
      </c>
      <c r="E645" s="16" t="s">
        <v>593</v>
      </c>
      <c r="F645" s="15" t="s">
        <v>1331</v>
      </c>
    </row>
    <row r="646" customFormat="false" ht="23.85" hidden="false" customHeight="false" outlineLevel="0" collapsed="false">
      <c r="A646" s="15" t="s">
        <v>346</v>
      </c>
      <c r="B646" s="15" t="s">
        <v>448</v>
      </c>
      <c r="C646" s="15" t="str">
        <f aca="false">IFERROR(INDEX('Method &amp; Notes'!$B$24:$B$34,MATCH(B646,'Method &amp; Notes'!$A$24:$A$34,0)),"")</f>
        <v>Warranty claims and inspections</v>
      </c>
      <c r="D646" s="15" t="s">
        <v>576</v>
      </c>
      <c r="E646" s="16" t="s">
        <v>577</v>
      </c>
      <c r="F646" s="15" t="s">
        <v>1597</v>
      </c>
    </row>
    <row r="647" customFormat="false" ht="23.85" hidden="false" customHeight="false" outlineLevel="0" collapsed="false">
      <c r="A647" s="15" t="s">
        <v>346</v>
      </c>
      <c r="B647" s="15" t="s">
        <v>452</v>
      </c>
      <c r="C647" s="15" t="str">
        <f aca="false">IFERROR(INDEX('Method &amp; Notes'!$B$24:$B$34,MATCH(B647,'Method &amp; Notes'!$A$24:$A$34,0)),"")</f>
        <v>DIY and how-to interest</v>
      </c>
      <c r="D647" s="15" t="s">
        <v>586</v>
      </c>
      <c r="E647" s="16" t="s">
        <v>587</v>
      </c>
      <c r="F647" s="15" t="s">
        <v>1598</v>
      </c>
    </row>
    <row r="648" customFormat="false" ht="23.85" hidden="false" customHeight="false" outlineLevel="0" collapsed="false">
      <c r="A648" s="15" t="s">
        <v>350</v>
      </c>
      <c r="B648" s="15" t="s">
        <v>477</v>
      </c>
      <c r="C648" s="15" t="str">
        <f aca="false">IFERROR(INDEX('Method &amp; Notes'!$B$24:$B$34,MATCH(B648,'Method &amp; Notes'!$A$24:$A$34,0)),"")</f>
        <v>Regional, seasonal and emerging demand</v>
      </c>
      <c r="D648" s="15" t="s">
        <v>1503</v>
      </c>
      <c r="E648" s="16" t="s">
        <v>1504</v>
      </c>
      <c r="F648" s="15" t="s">
        <v>1599</v>
      </c>
    </row>
    <row r="649" customFormat="false" ht="23.85" hidden="false" customHeight="false" outlineLevel="0" collapsed="false">
      <c r="A649" s="15" t="s">
        <v>350</v>
      </c>
      <c r="B649" s="15" t="s">
        <v>477</v>
      </c>
      <c r="C649" s="15" t="str">
        <f aca="false">IFERROR(INDEX('Method &amp; Notes'!$B$24:$B$34,MATCH(B649,'Method &amp; Notes'!$A$24:$A$34,0)),"")</f>
        <v>Regional, seasonal and emerging demand</v>
      </c>
      <c r="D649" s="15" t="s">
        <v>1600</v>
      </c>
      <c r="E649" s="16" t="s">
        <v>1601</v>
      </c>
      <c r="F649" s="15" t="s">
        <v>1602</v>
      </c>
    </row>
    <row r="650" customFormat="false" ht="23.85" hidden="false" customHeight="false" outlineLevel="0" collapsed="false">
      <c r="A650" s="15" t="s">
        <v>350</v>
      </c>
      <c r="B650" s="15" t="s">
        <v>477</v>
      </c>
      <c r="C650" s="15" t="str">
        <f aca="false">IFERROR(INDEX('Method &amp; Notes'!$B$24:$B$34,MATCH(B650,'Method &amp; Notes'!$A$24:$A$34,0)),"")</f>
        <v>Regional, seasonal and emerging demand</v>
      </c>
      <c r="D650" s="15" t="s">
        <v>1506</v>
      </c>
      <c r="E650" s="16" t="s">
        <v>1507</v>
      </c>
      <c r="F650" s="15" t="s">
        <v>1603</v>
      </c>
    </row>
    <row r="651" customFormat="false" ht="23.85" hidden="false" customHeight="false" outlineLevel="0" collapsed="false">
      <c r="A651" s="15" t="s">
        <v>350</v>
      </c>
      <c r="B651" s="15" t="s">
        <v>477</v>
      </c>
      <c r="C651" s="15" t="str">
        <f aca="false">IFERROR(INDEX('Method &amp; Notes'!$B$24:$B$34,MATCH(B651,'Method &amp; Notes'!$A$24:$A$34,0)),"")</f>
        <v>Regional, seasonal and emerging demand</v>
      </c>
      <c r="D651" s="15" t="s">
        <v>1604</v>
      </c>
      <c r="E651" s="16" t="s">
        <v>1605</v>
      </c>
      <c r="F651" s="15" t="s">
        <v>1606</v>
      </c>
    </row>
    <row r="652" customFormat="false" ht="15" hidden="false" customHeight="false" outlineLevel="0" collapsed="false">
      <c r="A652" s="15" t="s">
        <v>355</v>
      </c>
      <c r="B652" s="15" t="s">
        <v>441</v>
      </c>
      <c r="C652" s="15" t="str">
        <f aca="false">IFERROR(INDEX('Method &amp; Notes'!$B$24:$B$34,MATCH(B652,'Method &amp; Notes'!$A$24:$A$34,0)),"")</f>
        <v>Handyman business guides</v>
      </c>
      <c r="D652" s="15" t="s">
        <v>1151</v>
      </c>
      <c r="E652" s="16" t="s">
        <v>1152</v>
      </c>
      <c r="F652" s="15" t="s">
        <v>1607</v>
      </c>
    </row>
    <row r="653" customFormat="false" ht="15" hidden="false" customHeight="false" outlineLevel="0" collapsed="false">
      <c r="A653" s="15" t="s">
        <v>355</v>
      </c>
      <c r="B653" s="15" t="s">
        <v>441</v>
      </c>
      <c r="C653" s="15" t="str">
        <f aca="false">IFERROR(INDEX('Method &amp; Notes'!$B$24:$B$34,MATCH(B653,'Method &amp; Notes'!$A$24:$A$34,0)),"")</f>
        <v>Handyman business guides</v>
      </c>
      <c r="D653" s="15" t="s">
        <v>843</v>
      </c>
      <c r="E653" s="16" t="s">
        <v>844</v>
      </c>
      <c r="F653" s="15" t="s">
        <v>1608</v>
      </c>
    </row>
    <row r="654" customFormat="false" ht="15" hidden="false" customHeight="false" outlineLevel="0" collapsed="false">
      <c r="A654" s="15" t="s">
        <v>355</v>
      </c>
      <c r="B654" s="15" t="s">
        <v>441</v>
      </c>
      <c r="C654" s="15" t="str">
        <f aca="false">IFERROR(INDEX('Method &amp; Notes'!$B$24:$B$34,MATCH(B654,'Method &amp; Notes'!$A$24:$A$34,0)),"")</f>
        <v>Handyman business guides</v>
      </c>
      <c r="D654" s="15" t="s">
        <v>1429</v>
      </c>
      <c r="E654" s="16" t="s">
        <v>1430</v>
      </c>
      <c r="F654" s="15" t="s">
        <v>1609</v>
      </c>
    </row>
    <row r="655" customFormat="false" ht="23.85" hidden="false" customHeight="false" outlineLevel="0" collapsed="false">
      <c r="A655" s="15" t="s">
        <v>358</v>
      </c>
      <c r="B655" s="15" t="s">
        <v>452</v>
      </c>
      <c r="C655" s="15" t="str">
        <f aca="false">IFERROR(INDEX('Method &amp; Notes'!$B$24:$B$34,MATCH(B655,'Method &amp; Notes'!$A$24:$A$34,0)),"")</f>
        <v>DIY and how-to interest</v>
      </c>
      <c r="D655" s="15" t="s">
        <v>453</v>
      </c>
      <c r="E655" s="16" t="s">
        <v>454</v>
      </c>
      <c r="F655" s="15" t="s">
        <v>1610</v>
      </c>
    </row>
    <row r="656" customFormat="false" ht="23.85" hidden="false" customHeight="false" outlineLevel="0" collapsed="false">
      <c r="A656" s="15" t="s">
        <v>358</v>
      </c>
      <c r="B656" s="15" t="s">
        <v>452</v>
      </c>
      <c r="C656" s="15" t="str">
        <f aca="false">IFERROR(INDEX('Method &amp; Notes'!$B$24:$B$34,MATCH(B656,'Method &amp; Notes'!$A$24:$A$34,0)),"")</f>
        <v>DIY and how-to interest</v>
      </c>
      <c r="D656" s="15" t="s">
        <v>789</v>
      </c>
      <c r="E656" s="16" t="s">
        <v>790</v>
      </c>
      <c r="F656" s="15" t="s">
        <v>1611</v>
      </c>
    </row>
    <row r="657" customFormat="false" ht="23.85" hidden="false" customHeight="false" outlineLevel="0" collapsed="false">
      <c r="A657" s="15" t="s">
        <v>358</v>
      </c>
      <c r="B657" s="15" t="s">
        <v>452</v>
      </c>
      <c r="C657" s="15" t="str">
        <f aca="false">IFERROR(INDEX('Method &amp; Notes'!$B$24:$B$34,MATCH(B657,'Method &amp; Notes'!$A$24:$A$34,0)),"")</f>
        <v>DIY and how-to interest</v>
      </c>
      <c r="D657" s="15" t="s">
        <v>1612</v>
      </c>
      <c r="E657" s="16" t="s">
        <v>1613</v>
      </c>
      <c r="F657" s="15" t="s">
        <v>1614</v>
      </c>
    </row>
    <row r="658" customFormat="false" ht="15" hidden="false" customHeight="false" outlineLevel="0" collapsed="false">
      <c r="A658" s="15" t="s">
        <v>362</v>
      </c>
      <c r="B658" s="15" t="s">
        <v>441</v>
      </c>
      <c r="C658" s="15" t="str">
        <f aca="false">IFERROR(INDEX('Method &amp; Notes'!$B$24:$B$34,MATCH(B658,'Method &amp; Notes'!$A$24:$A$34,0)),"")</f>
        <v>Handyman business guides</v>
      </c>
      <c r="D658" s="15" t="s">
        <v>1151</v>
      </c>
      <c r="E658" s="16" t="s">
        <v>1152</v>
      </c>
      <c r="F658" s="15" t="s">
        <v>1615</v>
      </c>
    </row>
    <row r="659" customFormat="false" ht="15" hidden="false" customHeight="false" outlineLevel="0" collapsed="false">
      <c r="A659" s="15" t="s">
        <v>362</v>
      </c>
      <c r="B659" s="15" t="s">
        <v>441</v>
      </c>
      <c r="C659" s="15" t="str">
        <f aca="false">IFERROR(INDEX('Method &amp; Notes'!$B$24:$B$34,MATCH(B659,'Method &amp; Notes'!$A$24:$A$34,0)),"")</f>
        <v>Handyman business guides</v>
      </c>
      <c r="D659" s="15" t="s">
        <v>843</v>
      </c>
      <c r="E659" s="16" t="s">
        <v>844</v>
      </c>
      <c r="F659" s="15" t="s">
        <v>1616</v>
      </c>
    </row>
    <row r="660" customFormat="false" ht="15" hidden="false" customHeight="false" outlineLevel="0" collapsed="false">
      <c r="A660" s="15" t="s">
        <v>366</v>
      </c>
      <c r="B660" s="15" t="s">
        <v>431</v>
      </c>
      <c r="C660" s="15" t="str">
        <f aca="false">IFERROR(INDEX('Method &amp; Notes'!$B$24:$B$34,MATCH(B660,'Method &amp; Notes'!$A$24:$A$34,0)),"")</f>
        <v>Marketplaces and booking platforms</v>
      </c>
      <c r="D660" s="15" t="s">
        <v>468</v>
      </c>
      <c r="E660" s="16" t="s">
        <v>1530</v>
      </c>
      <c r="F660" s="15" t="s">
        <v>1617</v>
      </c>
    </row>
    <row r="661" customFormat="false" ht="15" hidden="false" customHeight="false" outlineLevel="0" collapsed="false">
      <c r="A661" s="15" t="s">
        <v>366</v>
      </c>
      <c r="B661" s="15" t="s">
        <v>431</v>
      </c>
      <c r="C661" s="15" t="str">
        <f aca="false">IFERROR(INDEX('Method &amp; Notes'!$B$24:$B$34,MATCH(B661,'Method &amp; Notes'!$A$24:$A$34,0)),"")</f>
        <v>Marketplaces and booking platforms</v>
      </c>
      <c r="D661" s="15" t="s">
        <v>468</v>
      </c>
      <c r="E661" s="16" t="s">
        <v>1618</v>
      </c>
      <c r="F661" s="15" t="s">
        <v>1619</v>
      </c>
    </row>
    <row r="662" customFormat="false" ht="23.85" hidden="false" customHeight="false" outlineLevel="0" collapsed="false">
      <c r="A662" s="15" t="s">
        <v>370</v>
      </c>
      <c r="B662" s="15" t="s">
        <v>463</v>
      </c>
      <c r="C662" s="15" t="str">
        <f aca="false">IFERROR(INDEX('Method &amp; Notes'!$B$24:$B$34,MATCH(B662,'Method &amp; Notes'!$A$24:$A$34,0)),"")</f>
        <v>Memberships, concierge and retailer services</v>
      </c>
      <c r="D662" s="15" t="s">
        <v>1315</v>
      </c>
      <c r="E662" s="16" t="s">
        <v>1316</v>
      </c>
      <c r="F662" s="15" t="s">
        <v>1620</v>
      </c>
    </row>
    <row r="663" customFormat="false" ht="23.85" hidden="false" customHeight="false" outlineLevel="0" collapsed="false">
      <c r="A663" s="15" t="s">
        <v>370</v>
      </c>
      <c r="B663" s="15" t="s">
        <v>463</v>
      </c>
      <c r="C663" s="15" t="str">
        <f aca="false">IFERROR(INDEX('Method &amp; Notes'!$B$24:$B$34,MATCH(B663,'Method &amp; Notes'!$A$24:$A$34,0)),"")</f>
        <v>Memberships, concierge and retailer services</v>
      </c>
      <c r="D663" s="15" t="s">
        <v>1621</v>
      </c>
      <c r="E663" s="16" t="s">
        <v>1622</v>
      </c>
      <c r="F663" s="15" t="s">
        <v>1623</v>
      </c>
    </row>
    <row r="664" customFormat="false" ht="15" hidden="false" customHeight="false" outlineLevel="0" collapsed="false">
      <c r="A664" s="15" t="s">
        <v>374</v>
      </c>
      <c r="B664" s="15" t="s">
        <v>431</v>
      </c>
      <c r="C664" s="15" t="str">
        <f aca="false">IFERROR(INDEX('Method &amp; Notes'!$B$24:$B$34,MATCH(B664,'Method &amp; Notes'!$A$24:$A$34,0)),"")</f>
        <v>Marketplaces and booking platforms</v>
      </c>
      <c r="D664" s="15" t="s">
        <v>468</v>
      </c>
      <c r="E664" s="16" t="s">
        <v>536</v>
      </c>
      <c r="F664" s="15" t="s">
        <v>1624</v>
      </c>
    </row>
    <row r="665" customFormat="false" ht="15" hidden="false" customHeight="false" outlineLevel="0" collapsed="false">
      <c r="A665" s="15" t="s">
        <v>374</v>
      </c>
      <c r="B665" s="15" t="s">
        <v>431</v>
      </c>
      <c r="C665" s="15" t="str">
        <f aca="false">IFERROR(INDEX('Method &amp; Notes'!$B$24:$B$34,MATCH(B665,'Method &amp; Notes'!$A$24:$A$34,0)),"")</f>
        <v>Marketplaces and booking platforms</v>
      </c>
      <c r="D665" s="15" t="s">
        <v>432</v>
      </c>
      <c r="E665" s="16" t="s">
        <v>534</v>
      </c>
      <c r="F665" s="15" t="s">
        <v>1625</v>
      </c>
    </row>
    <row r="666" customFormat="false" ht="23.85" hidden="false" customHeight="false" outlineLevel="0" collapsed="false">
      <c r="A666" s="15" t="s">
        <v>378</v>
      </c>
      <c r="B666" s="15" t="s">
        <v>452</v>
      </c>
      <c r="C666" s="15" t="str">
        <f aca="false">IFERROR(INDEX('Method &amp; Notes'!$B$24:$B$34,MATCH(B666,'Method &amp; Notes'!$A$24:$A$34,0)),"")</f>
        <v>DIY and how-to interest</v>
      </c>
      <c r="D666" s="15" t="s">
        <v>967</v>
      </c>
      <c r="E666" s="16" t="s">
        <v>968</v>
      </c>
      <c r="F666" s="15" t="s">
        <v>1626</v>
      </c>
    </row>
    <row r="667" customFormat="false" ht="23.85" hidden="false" customHeight="false" outlineLevel="0" collapsed="false">
      <c r="A667" s="15" t="s">
        <v>378</v>
      </c>
      <c r="B667" s="15" t="s">
        <v>452</v>
      </c>
      <c r="C667" s="15" t="str">
        <f aca="false">IFERROR(INDEX('Method &amp; Notes'!$B$24:$B$34,MATCH(B667,'Method &amp; Notes'!$A$24:$A$34,0)),"")</f>
        <v>DIY and how-to interest</v>
      </c>
      <c r="D667" s="15" t="s">
        <v>1627</v>
      </c>
      <c r="E667" s="16" t="s">
        <v>1628</v>
      </c>
      <c r="F667" s="15" t="s">
        <v>1629</v>
      </c>
    </row>
    <row r="668" customFormat="false" ht="23.85" hidden="false" customHeight="false" outlineLevel="0" collapsed="false">
      <c r="A668" s="15" t="s">
        <v>382</v>
      </c>
      <c r="B668" s="15" t="s">
        <v>459</v>
      </c>
      <c r="C668" s="15" t="str">
        <f aca="false">IFERROR(INDEX('Method &amp; Notes'!$B$24:$B$34,MATCH(B668,'Method &amp; Notes'!$A$24:$A$34,0)),"")</f>
        <v>Rental and property maintenance requests</v>
      </c>
      <c r="D668" s="15" t="s">
        <v>589</v>
      </c>
      <c r="E668" s="16" t="s">
        <v>590</v>
      </c>
      <c r="F668" s="15" t="s">
        <v>1630</v>
      </c>
    </row>
    <row r="669" customFormat="false" ht="23.85" hidden="false" customHeight="false" outlineLevel="0" collapsed="false">
      <c r="A669" s="15" t="s">
        <v>382</v>
      </c>
      <c r="B669" s="15" t="s">
        <v>459</v>
      </c>
      <c r="C669" s="15" t="str">
        <f aca="false">IFERROR(INDEX('Method &amp; Notes'!$B$24:$B$34,MATCH(B669,'Method &amp; Notes'!$A$24:$A$34,0)),"")</f>
        <v>Rental and property maintenance requests</v>
      </c>
      <c r="D669" s="15" t="s">
        <v>554</v>
      </c>
      <c r="E669" s="16" t="s">
        <v>555</v>
      </c>
      <c r="F669" s="15" t="s">
        <v>1631</v>
      </c>
    </row>
    <row r="670" customFormat="false" ht="15" hidden="false" customHeight="false" outlineLevel="0" collapsed="false">
      <c r="A670" s="15" t="s">
        <v>386</v>
      </c>
      <c r="B670" s="15" t="s">
        <v>431</v>
      </c>
      <c r="C670" s="15" t="str">
        <f aca="false">IFERROR(INDEX('Method &amp; Notes'!$B$24:$B$34,MATCH(B670,'Method &amp; Notes'!$A$24:$A$34,0)),"")</f>
        <v>Marketplaces and booking platforms</v>
      </c>
      <c r="D670" s="15" t="s">
        <v>435</v>
      </c>
      <c r="E670" s="16" t="s">
        <v>1072</v>
      </c>
      <c r="F670" s="15" t="s">
        <v>1073</v>
      </c>
    </row>
    <row r="671" customFormat="false" ht="23.85" hidden="false" customHeight="false" outlineLevel="0" collapsed="false">
      <c r="A671" s="15" t="s">
        <v>390</v>
      </c>
      <c r="B671" s="15" t="s">
        <v>463</v>
      </c>
      <c r="C671" s="15" t="str">
        <f aca="false">IFERROR(INDEX('Method &amp; Notes'!$B$24:$B$34,MATCH(B671,'Method &amp; Notes'!$A$24:$A$34,0)),"")</f>
        <v>Memberships, concierge and retailer services</v>
      </c>
      <c r="D671" s="15" t="s">
        <v>740</v>
      </c>
      <c r="E671" s="16" t="s">
        <v>741</v>
      </c>
      <c r="F671" s="15" t="s">
        <v>1632</v>
      </c>
    </row>
    <row r="672" customFormat="false" ht="15" hidden="false" customHeight="false" outlineLevel="0" collapsed="false">
      <c r="A672" s="15" t="s">
        <v>394</v>
      </c>
      <c r="B672" s="15" t="s">
        <v>431</v>
      </c>
      <c r="C672" s="15" t="str">
        <f aca="false">IFERROR(INDEX('Method &amp; Notes'!$B$24:$B$34,MATCH(B672,'Method &amp; Notes'!$A$24:$A$34,0)),"")</f>
        <v>Marketplaces and booking platforms</v>
      </c>
      <c r="D672" s="15" t="s">
        <v>468</v>
      </c>
      <c r="E672" s="16" t="s">
        <v>536</v>
      </c>
      <c r="F672" s="15" t="s">
        <v>1633</v>
      </c>
    </row>
    <row r="673" customFormat="false" ht="23.85" hidden="false" customHeight="false" outlineLevel="0" collapsed="false">
      <c r="A673" s="15" t="s">
        <v>398</v>
      </c>
      <c r="B673" s="15" t="s">
        <v>431</v>
      </c>
      <c r="C673" s="15" t="str">
        <f aca="false">IFERROR(INDEX('Method &amp; Notes'!$B$24:$B$34,MATCH(B673,'Method &amp; Notes'!$A$24:$A$34,0)),"")</f>
        <v>Marketplaces and booking platforms</v>
      </c>
      <c r="D673" s="15" t="s">
        <v>619</v>
      </c>
      <c r="E673" s="16" t="s">
        <v>620</v>
      </c>
      <c r="F673" s="15" t="s">
        <v>1634</v>
      </c>
    </row>
    <row r="674" customFormat="false" ht="23.85" hidden="false" customHeight="false" outlineLevel="0" collapsed="false">
      <c r="A674" s="15" t="s">
        <v>401</v>
      </c>
      <c r="B674" s="15" t="s">
        <v>459</v>
      </c>
      <c r="C674" s="15" t="str">
        <f aca="false">IFERROR(INDEX('Method &amp; Notes'!$B$24:$B$34,MATCH(B674,'Method &amp; Notes'!$A$24:$A$34,0)),"")</f>
        <v>Rental and property maintenance requests</v>
      </c>
      <c r="D674" s="15" t="s">
        <v>1138</v>
      </c>
      <c r="E674" s="16" t="s">
        <v>1139</v>
      </c>
      <c r="F674" s="15" t="s">
        <v>1140</v>
      </c>
    </row>
    <row r="675" customFormat="false" ht="15" hidden="false" customHeight="false" outlineLevel="0" collapsed="false">
      <c r="A675" s="15" t="s">
        <v>405</v>
      </c>
      <c r="B675" s="15" t="s">
        <v>857</v>
      </c>
      <c r="C675" s="15" t="str">
        <f aca="false">IFERROR(INDEX('Method &amp; Notes'!$B$24:$B$34,MATCH(B675,'Method &amp; Notes'!$A$24:$A$34,0)),"")</f>
        <v>Extra web searches after the review pass</v>
      </c>
      <c r="D675" s="15" t="s">
        <v>435</v>
      </c>
      <c r="E675" s="16" t="s">
        <v>1635</v>
      </c>
      <c r="F675" s="15" t="s">
        <v>1636</v>
      </c>
    </row>
    <row r="676" customFormat="false" ht="15" hidden="false" customHeight="false" outlineLevel="0" collapsed="false">
      <c r="A676" s="15" t="s">
        <v>405</v>
      </c>
      <c r="B676" s="15" t="s">
        <v>857</v>
      </c>
      <c r="C676" s="15" t="str">
        <f aca="false">IFERROR(INDEX('Method &amp; Notes'!$B$24:$B$34,MATCH(B676,'Method &amp; Notes'!$A$24:$A$34,0)),"")</f>
        <v>Extra web searches after the review pass</v>
      </c>
      <c r="D676" s="15" t="s">
        <v>1637</v>
      </c>
      <c r="E676" s="16" t="s">
        <v>1638</v>
      </c>
      <c r="F676" s="15" t="s">
        <v>1639</v>
      </c>
    </row>
    <row r="677" customFormat="false" ht="23.85" hidden="false" customHeight="false" outlineLevel="0" collapsed="false">
      <c r="A677" s="15" t="s">
        <v>405</v>
      </c>
      <c r="B677" s="15" t="s">
        <v>1640</v>
      </c>
      <c r="C677" s="15" t="str">
        <f aca="false">IFERROR(INDEX('Method &amp; Notes'!$B$24:$B$34,MATCH(B677,'Method &amp; Notes'!$A$24:$A$34,0)),"")</f>
        <v>Stakeholder input (Fast Fix Slack thread)</v>
      </c>
      <c r="D677" s="15" t="s">
        <v>1641</v>
      </c>
      <c r="E677" s="15"/>
      <c r="F677" s="15" t="s">
        <v>1642</v>
      </c>
    </row>
    <row r="678" customFormat="false" ht="23.85" hidden="false" customHeight="false" outlineLevel="0" collapsed="false">
      <c r="A678" s="15" t="s">
        <v>410</v>
      </c>
      <c r="B678" s="15" t="s">
        <v>857</v>
      </c>
      <c r="C678" s="15" t="str">
        <f aca="false">IFERROR(INDEX('Method &amp; Notes'!$B$24:$B$34,MATCH(B678,'Method &amp; Notes'!$A$24:$A$34,0)),"")</f>
        <v>Extra web searches after the review pass</v>
      </c>
      <c r="D678" s="15" t="s">
        <v>1643</v>
      </c>
      <c r="E678" s="16" t="s">
        <v>1644</v>
      </c>
      <c r="F678" s="15" t="s">
        <v>1645</v>
      </c>
    </row>
    <row r="679" customFormat="false" ht="23.85" hidden="false" customHeight="false" outlineLevel="0" collapsed="false">
      <c r="A679" s="15" t="s">
        <v>410</v>
      </c>
      <c r="B679" s="15" t="s">
        <v>857</v>
      </c>
      <c r="C679" s="15" t="str">
        <f aca="false">IFERROR(INDEX('Method &amp; Notes'!$B$24:$B$34,MATCH(B679,'Method &amp; Notes'!$A$24:$A$34,0)),"")</f>
        <v>Extra web searches after the review pass</v>
      </c>
      <c r="D679" s="15" t="s">
        <v>861</v>
      </c>
      <c r="E679" s="16" t="s">
        <v>862</v>
      </c>
      <c r="F679" s="15" t="s">
        <v>1646</v>
      </c>
    </row>
    <row r="680" customFormat="false" ht="23.85" hidden="false" customHeight="false" outlineLevel="0" collapsed="false">
      <c r="A680" s="15" t="s">
        <v>410</v>
      </c>
      <c r="B680" s="15" t="s">
        <v>1640</v>
      </c>
      <c r="C680" s="15" t="str">
        <f aca="false">IFERROR(INDEX('Method &amp; Notes'!$B$24:$B$34,MATCH(B680,'Method &amp; Notes'!$A$24:$A$34,0)),"")</f>
        <v>Stakeholder input (Fast Fix Slack thread)</v>
      </c>
      <c r="D680" s="15" t="s">
        <v>1641</v>
      </c>
      <c r="E680" s="15"/>
      <c r="F680" s="15" t="s">
        <v>1647</v>
      </c>
    </row>
  </sheetData>
  <autoFilter ref="A1:F680"/>
  <hyperlinks>
    <hyperlink ref="E2" r:id="rId1" display="https://www.thumbtack.com/p/drywall-repair-cost"/>
    <hyperlink ref="E3" r:id="rId2" display="https://www.angi.com/articles/what-are-common-handyman-prices.htm"/>
    <hyperlink ref="E4" r:id="rId3" display="https://www.amenify.com/blog/top-handyman-tasks-for-homeowners-in-us"/>
    <hyperlink ref="E5" r:id="rId4" display="https://www.thimble.com/blog/what-are-the-most-requested-handyman-services"/>
    <hyperlink ref="E6" r:id="rId5" display="https://www.bobvila.com/articles/handyman-services-list/"/>
    <hyperlink ref="E7" r:id="rId6" display="https://insightdiy.co.uk/news/us-homeowners-most-likely-to-put-off-painting-over-other-diy-tasks/10838.htm"/>
    <hyperlink ref="E8" r:id="rId7" display="https://www.familyhandyman.com/list/most-popular-home-repairs-for-new-homeowners/"/>
    <hyperlink ref="E9" r:id="rId8" display="https://corporate.lowes.com/newsroom/press-releases/lowes-debuts-new-way-teach-millennials-how-make-basic-home-repairs-helping-homeowners-build-diy-confidence-and-save-costs-11-10-23"/>
    <hyperlink ref="E10" r:id="rId9" display="https://rentalrealestate.com/blog/essential-role-of-handyman-in-rental-property-maintenance/"/>
    <hyperlink ref="E11" r:id="rId10" display="https://communityimpact.com/mckinney/business/mr-handyman-of-midwest-collin-county-finds-success-in-full-service-residential-commercial-property-repairs-maintenance/"/>
    <hyperlink ref="E12" r:id="rId11" display="https://www.taskrabbit.com/cost-guides/drywall-repair"/>
    <hyperlink ref="E13" r:id="rId12" display="https://www.fixr.com/costs/repair-drywall"/>
    <hyperlink ref="E14" r:id="rId13" display="https://homegnome.com/blog/cost/drywall-repair-price/"/>
    <hyperlink ref="E15" r:id="rId14" display="https://www.thimble.com/blog/what-are-the-most-requested-handyman-services"/>
    <hyperlink ref="E16" r:id="rId15" display="https://www.enrichlabs.ai/blog/handyman-marketing-complete-guide-2026"/>
    <hyperlink ref="E17" r:id="rId16" display="https://www.taskrabbit.com/locations/san-antonio/home-improvement"/>
    <hyperlink ref="E18" r:id="rId17" display="https://themortgagereports.com/57788/how-home-maintenance-savvy-are-you-study-shows-most-americans-need-serious-help"/>
    <hyperlink ref="E19" r:id="rId18" display="https://www.thumbtack.com/p/ceiling-fan-install-cost"/>
    <hyperlink ref="E20" r:id="rId19" display="https://www.angi.com/articles/how-much-does-ceiling-fan-installation-cost.htm"/>
    <hyperlink ref="E21" r:id="rId20" display="https://www.taskrabbit.com/cost-guides/ceiling-fan-installation"/>
    <hyperlink ref="E22" r:id="rId21" display="https://www.homeadvisor.com/tloc/Smithville-MO/Ceiling-Fan-Install/"/>
    <hyperlink ref="E23" r:id="rId22" display="https://insights.workwave.com/industry/handyman/handyman-services-list-to-offer-customers/"/>
    <hyperlink ref="E24" r:id="rId23" display="https://homesmsp.com/2012/04/top-5-home-warranty-claims.html"/>
    <hyperlink ref="E25" r:id="rId24" display="https://www.bobvila.com/slideshow/50-things-every-homeowner-should-know-how-to-do-46782/"/>
    <hyperlink ref="E26" r:id="rId25" display="https://lula.life/articles/apartment-make-ready-checklist"/>
    <hyperlink ref="E27" r:id="rId26" display="https://www.lowes.com/l/install/lighting-and-ceiling-fans"/>
    <hyperlink ref="E28" r:id="rId27" display="https://www.homedepot.com/services/c/ceiling-fan-installation/5a565a2bf"/>
    <hyperlink ref="E29" r:id="rId28" display="https://www.taskrabbit.com/cost-guides/ceiling-fan-installation"/>
    <hyperlink ref="E30" r:id="rId29" display="https://www.taskrabbit.com/blog/ceiling-fan-installation-cost/"/>
    <hyperlink ref="E31" r:id="rId30" display="https://taskrabbit.com/locations/seattle/ceiling-fan-installation"/>
    <hyperlink ref="E32" r:id="rId31" display="https://www.homeadvisor.com/cost/heating-and-cooling/install-a-ceiling-fan/"/>
    <hyperlink ref="E33" r:id="rId32" display="https://homeguide.com/costs/ceiling-fan-installation-cost"/>
    <hyperlink ref="E34" r:id="rId33" display="https://www.thumbtack.com/p/fan-installation-cost"/>
    <hyperlink ref="E35" r:id="rId34" display="https://www.taskrabbit.com/locations/san-antonio/home-improvement"/>
    <hyperlink ref="E36" r:id="rId35" display="https://products.ecomcrew.com/search-term/ceiling%20fans%20without%20lights"/>
    <hyperlink ref="E37" r:id="rId36" display="https://www.thumbtack.com/p/lighting-installation-cost"/>
    <hyperlink ref="E38" r:id="rId37" display="https://www.taskrabbit.com/cost-guides/light-installation"/>
    <hyperlink ref="E39" r:id="rId38" display="https://www.angi.com/articles/light-fixture-repair-cost.htm"/>
    <hyperlink ref="E40" r:id="rId39" display="https://www.thimble.com/blog/what-are-the-most-requested-handyman-services"/>
    <hyperlink ref="E41" r:id="rId40" display="https://handymanconnection.com/grapevine/2020/09/5-most-common-reasons-to-call-a-handyman"/>
    <hyperlink ref="E42" r:id="rId41" display="https://insights.workwave.com/industry/handyman/handyman-services-list-to-offer-customers/"/>
    <hyperlink ref="E43" r:id="rId42" display="https://www.repairpricer.com/common-repairs-needed-after-home-inspection/"/>
    <hyperlink ref="E44" r:id="rId43" display="https://www.bobvila.com/articles/easy-home-repairs/"/>
    <hyperlink ref="E45" r:id="rId44" display="https://support.hemlane.com/hc/en-us/articles/13155323950221-What-types-of-repairs-does-Hemlane-coordinate-with-the-Rent-Ready-service"/>
    <hyperlink ref="E46" r:id="rId45" display="https://www.tenantcloud.com/maintenance/the-complete-guide-to-managing-rental-property-maintenance-requests"/>
    <hyperlink ref="E47" r:id="rId46" display="https://www.lowes.com/l/install/lighting-and-ceiling-fans"/>
    <hyperlink ref="E48" r:id="rId47" display="https://www.homedepot.com/services/c/light-fixture-installation/3135f7cf8"/>
    <hyperlink ref="E49" r:id="rId48" display="https://www.homeadvisor.com/cost/electrical/repair-a-lighting-fixture/"/>
    <hyperlink ref="E50" r:id="rId49" display="https://www.taskrabbit.com/blog/cost-to-install-light-fixture"/>
    <hyperlink ref="E51" r:id="rId50" display="https://www.taskrabbit.com/locations/columbus-auburn/light-installation"/>
    <hyperlink ref="E52" r:id="rId51" display="https://www.thimble.com/blog/what-are-the-most-requested-handyman-services"/>
    <hyperlink ref="E53" r:id="rId52" display="https://www.angi.com/articles/how-much-should-toilet-repairs-cost.htm"/>
    <hyperlink ref="E54" r:id="rId53" display="https://www.angi.com/articles/plumber-cost.htm"/>
    <hyperlink ref="E55" r:id="rId54" display="https://www.instaservice.com/blog/?p=38212"/>
    <hyperlink ref="E56" r:id="rId55" display="https://www.frontdoor.com/blog/lifestyle/diy-home-improvement-and-repair-jobs-we-most-need-help-with"/>
    <hyperlink ref="E57" r:id="rId56" display="https://www.dailymotion.com/video/x87d0sd"/>
    <hyperlink ref="E58" r:id="rId57" display="https://todayshomeowner.com/general/guides/diy-home-improvement-projects-by-state/"/>
    <hyperlink ref="E59" r:id="rId58" display="https://www.familyhandyman.com/list/most-popular-home-repairs-for-new-homeowners/"/>
    <hyperlink ref="E60" r:id="rId59" display="https://www.lowes.com/n/how-to/common-toilet-problems"/>
    <hyperlink ref="E61" r:id="rId60" display="https://www.hemlane.com/resources/rental-property-maintenance-requests/"/>
    <hyperlink ref="E62" r:id="rId61" display="https://www.avail.com/education/articles/most-reported-tenant-maintenance-issues"/>
    <hyperlink ref="E63" r:id="rId62" display="https://www.homedepot.com/services/c/toilet-repair/7d553fd48"/>
    <hyperlink ref="E64" r:id="rId63" display="https://apps.apple.com/app/id604419063"/>
    <hyperlink ref="E65" r:id="rId64" display="https://www.hometips.com/repair-fix/toilet-repair-costs.html"/>
    <hyperlink ref="E66" r:id="rId65" display="https://shipshape.ai/help/troubleshooting/toilet-running"/>
    <hyperlink ref="E67" r:id="rId66" display="https://neuhausre.com/how-to-fix-a-running-toilet-austin/"/>
    <hyperlink ref="E68" r:id="rId67" display="https://anytimeplumbing.net/?p=962"/>
    <hyperlink ref="E69" r:id="rId68" display="https://www.moneytalksnews.com/steps-to-fix-a-running-toilet-before-it-wastes-hundreds-of-dollars/"/>
    <hyperlink ref="E70" r:id="rId69" display="https://www.loopexdigital.com/blog/plumbing-keywords-seo-ppc"/>
    <hyperlink ref="E71" r:id="rId70" display="https://www.taskrabbit.com/blog/10-common-handyman-tasks-you-can-outsource-instead-of-trying-to-diy/"/>
    <hyperlink ref="E72" r:id="rId71" display="https://smb.oxfordeagle.com/article/Home-Repair-Expert-Bryan-Harmon-Explains-the-Most-Common-Handyman-Tasks-in-HelloNation/6a08955bd6b3ec3c381af7f9"/>
    <hyperlink ref="E73" r:id="rId72" display="https://www.housecallpro.com/resources/handyman-contract-template-sample/"/>
    <hyperlink ref="E74" r:id="rId73" display="https://waypointinspection.com/blog/home-inspection/common-home-inspection-finds/"/>
    <hyperlink ref="E75" r:id="rId74" display="https://www.familyhandyman.com/list/most-popular-home-repairs-for-new-homeowners/"/>
    <hyperlink ref="E76" r:id="rId75" display="https://todayshomeowner.com/general/guides/diy-home-improvement-projects-by-state/"/>
    <hyperlink ref="E77" r:id="rId76" display="https://www.bobvila.com/articles/easy-home-repairs/"/>
    <hyperlink ref="E78" r:id="rId77" display="https://rentalrealestate.com/blog/essential-role-of-handyman-in-rental-property-maintenance/"/>
    <hyperlink ref="E79" r:id="rId78" display="https://www.mrhandyman.com/nova-arlington-to-haymarket/geo/alexandria/"/>
    <hyperlink ref="E80" r:id="rId79" display="https://www.berkeleyparentsnetwork.org/node/417311"/>
    <hyperlink ref="E81" r:id="rId80" display="https://ampservices.homedepot.com/en/home/home-services/handiwork/bathtub-and-shower-recaulking.html"/>
    <hyperlink ref="E82" r:id="rId81" display="https://tools.wbez.org/recaulking-a-bathtub"/>
    <hyperlink ref="E83" r:id="rId82" display="https://www.enrichlabs.ai/blog/handyman-marketing-complete-guide-2026"/>
    <hyperlink ref="E84" r:id="rId83" display="https://www.thumbtack.com/p/thermostat-replacement-cost"/>
    <hyperlink ref="E85" r:id="rId84" display="https://www.angi.com/articles/how-much-does-it-cost-install-thermostat.htm"/>
    <hyperlink ref="E86" r:id="rId85" display="https://landingpages.services.handy.com/services/p-smart-thermostat-install/washington-dc"/>
    <hyperlink ref="E87" r:id="rId86" display="https://www.housecallpro.com/resources/working-in-the-trades/handyman-list-ideas/"/>
    <hyperlink ref="E88" r:id="rId87" display="https://www.homeserve.com/en-us/media/new-homeowner-survey-shows-growing-number-of-homeowners-face-home-repair-emergencies/"/>
    <hyperlink ref="E89" r:id="rId88" display="https://www.tenantcloud.com/maintenance/the-complete-guide-to-managing-rental-property-maintenance-requests"/>
    <hyperlink ref="E90" r:id="rId89" display="https://www.bestbuy.com/site/smart-thermostat-installation/9525109.p?skuId=9525109"/>
    <hyperlink ref="E91" r:id="rId90" display="https://www.homedepot.com/services/h/smart-home-installation"/>
    <hyperlink ref="E92" r:id="rId91" display="https://pocketsuite.io/book/mister-ios-llc/items/smart-devices"/>
    <hyperlink ref="E93" r:id="rId92" display="https://qa4-www.canadiantire.ca/en/home-services/smart-home.html"/>
    <hyperlink ref="E94" r:id="rId93" display="https://vocal.media/lifehack/the-real-cost-of-building-a-smart-home-a-trade-perspective"/>
    <hyperlink ref="E95" r:id="rId94" display="https://talkofthevillages.com/forums/villages-florida-general-discussion-73/ecobee-smart-thermostat-yale-smart-door-lock-ring-doorbell-help-342069"/>
    <hyperlink ref="E96" r:id="rId95" display="https://intercom.help/jiffy/en/articles/2203108-smart-home-install"/>
    <hyperlink ref="E97" r:id="rId96" display="https://taskrabbit.com/locations/detroit/smart-home-installation"/>
    <hyperlink ref="E98" r:id="rId97" display="https://www.seodata.dev/keyword/install-nest-smart-thermostat"/>
    <hyperlink ref="E99" r:id="rId98" display="https://hookagency.com/blog/most-searched-home-services/"/>
    <hyperlink ref="E100" r:id="rId99" display="https://www.thumbtack.com/p/door-repair-cost"/>
    <hyperlink ref="E101" r:id="rId100" display="https://www.angi.com/articles/what-are-common-handyman-prices.htm"/>
    <hyperlink ref="E102" r:id="rId101" display="https://www.housecallpro.com/resources/handyman-contract-template-sample/"/>
    <hyperlink ref="E103" r:id="rId102" display="https://www.homeadvisor.com/tloc/Hindsville-AR/Doors-Repair"/>
    <hyperlink ref="E104" r:id="rId103" display="https://www.repairpricer.com/common-repairs-needed-after-home-inspection/"/>
    <hyperlink ref="E105" r:id="rId104" display="https://www.prnewswire.com/news-releases/repair-pricer-inspection-report-reveals-over-a-million-repairs-needed-for-homes-across-the-us-301308868.html"/>
    <hyperlink ref="E106" r:id="rId105" display="https://www.frontdoor.com/blog/lifestyle/diy-home-improvement-and-repair-jobs-we-most-need-help-with"/>
    <hyperlink ref="E107" r:id="rId106" display="https://www.searchenginejournal.com/google-reveals-popular-searches/213648/"/>
    <hyperlink ref="E108" r:id="rId107" display="https://www.bobvila.com/articles/easy-home-repairs/"/>
    <hyperlink ref="E109" r:id="rId108" display="https://www.baymgmtgroup.com/blog/rental-property-repair-costs/"/>
    <hyperlink ref="E110" r:id="rId109" display="https://www.avail.com/education/articles/most-reported-tenant-maintenance-issues"/>
    <hyperlink ref="E111" r:id="rId110" display="https://communityimpact.com/mckinney/business/mr-handyman-of-midwest-collin-county-finds-success-in-full-service-residential-commercial-property-repairs-maintenance/"/>
    <hyperlink ref="E112" r:id="rId111" display="https://handymanconnection.com/golden/"/>
    <hyperlink ref="E113" r:id="rId112" display="https://www.taskrabbit.com/locations/denver/home-improvement"/>
    <hyperlink ref="E114" r:id="rId113" display="https://hdfoundationrepair.com/doors-windows-sticking-foundation-problems-dfw/"/>
    <hyperlink ref="E115" r:id="rId114" display="https://www.thumbtack.com/p/garbage-disposal-installation-cost"/>
    <hyperlink ref="E116" r:id="rId115" display="https://www.angi.com/articles/how-much-does-drain-cleaning-cost.htm"/>
    <hyperlink ref="E117" r:id="rId116" display="https://www.buildzoom.com/answers/t/can-we-use-a-handyman-to-replace-a-garbage-disposal/1837"/>
    <hyperlink ref="E118" r:id="rId117" display="https://rosieonthehouse.com/diy/how-can-i-counter-the-need-for-a-home-warranty/"/>
    <hyperlink ref="E119" r:id="rId118" display="https://homesmsp.com/2012/04/top-5-home-warranty-claims.html"/>
    <hyperlink ref="E120" r:id="rId119" display="https://www.familyhandyman.com/list/most-popular-home-repairs-for-new-homeowners/"/>
    <hyperlink ref="E121" r:id="rId120" display="https://www.familyhandyman.com/list/home-improvements-you-should-never-pay-for/"/>
    <hyperlink ref="E122" r:id="rId121" display="https://belonghome.com/blog/7-common-rental-property-repairs"/>
    <hyperlink ref="E123" r:id="rId122" display="https://oxmaint.com/blog/post/property-maintenance-requests-15-most-common-issues-and-prevention-tips"/>
    <hyperlink ref="E124" r:id="rId123" display="https://www.lowes.com/l/install/appliances"/>
    <hyperlink ref="E125" r:id="rId124" display="https://www.homedepot.com/services/h/plumbing"/>
    <hyperlink ref="E126" r:id="rId125" display="https://homeguide.com/costs/garbage-disposal-installation-cost"/>
    <hyperlink ref="E127" r:id="rId126" display="https://www.homeadvisor.com/cost/appliances/garbage-disposal-replacement-cost/"/>
    <hyperlink ref="E128" r:id="rId127" display="https://www.fixr.com/costs/garbage-disposal-installation"/>
    <hyperlink ref="E129" r:id="rId128" display="https://www.thumbtack.com/p/handyman-prices"/>
    <hyperlink ref="E130" r:id="rId129" display="https://www.taskrabbit.com/cost-guides/general-handyman"/>
    <hyperlink ref="E131" r:id="rId130" display="https://www.angi.com/articles/plumber-cost.htm"/>
    <hyperlink ref="E132" r:id="rId131" display="https://www.bobvila.com/articles/handyman-services-list/"/>
    <hyperlink ref="E133" r:id="rId132" display="https://www.instaservice.com/blog/what-does-a-handyman-do-complete-list-of-handyman-services/"/>
    <hyperlink ref="E134" r:id="rId133" display="https://www.prnewswire.com/news-releases/repair-pricer-inspection-report-reveals-over-a-million-repairs-needed-for-homes-across-the-us-301308868.html"/>
    <hyperlink ref="E135" r:id="rId134" display="https://www.familyhandyman.com/list/home-improvements-you-should-never-pay-for/"/>
    <hyperlink ref="E136" r:id="rId135" display="https://corporate.lowes.com/newsroom/press-releases/lowes-debuts-new-way-teach-millennials-how-make-basic-home-repairs-helping-homeowners-build-diy-confidence-and-save-costs-11-10-23"/>
    <hyperlink ref="E137" r:id="rId136" display="https://www.mapcon.com/blog/2025/06/top-maintenance-requests-and-how-to-handle-them"/>
    <hyperlink ref="E138" r:id="rId137" display="https://www.lowes.com/l/install/sink-faucet"/>
    <hyperlink ref="E139" r:id="rId138" display="https://www.homedepot.com/services/c/faucet-replacement"/>
    <hyperlink ref="E140" r:id="rId139" display="https://homeguide.com/costs/faucet-installation-cost"/>
    <hyperlink ref="E141" r:id="rId140" display="https://www.thumbtack.com/p/sink-repair-cost"/>
    <hyperlink ref="E142" r:id="rId141" display="https://www.angi.com/articles/plumber-cost-to-fix-leaky-faucet.htm"/>
    <hyperlink ref="E143" r:id="rId142" display="https://www.thumbtack.com/p/sink-repair-cost"/>
    <hyperlink ref="E144" r:id="rId143" display="https://www.amenify.com/blog/top-handyman-tasks-for-homeowners-in-us"/>
    <hyperlink ref="E145" r:id="rId144" display="https://insights.workwave.com/industry/handyman/handyman-services-list-to-offer-customers/"/>
    <hyperlink ref="E146" r:id="rId145" display="https://www.bobvila.com/articles/handyman-services-list/"/>
    <hyperlink ref="E147" r:id="rId146" display="https://www.repairpricer.com/common-repairs-needed-after-home-inspection/"/>
    <hyperlink ref="E148" r:id="rId147" display="https://www.prnewswire.com/news-releases/repair-pricer-inspection-report-reveals-over-a-million-repairs-needed-for-homes-across-the-us-301308868.html"/>
    <hyperlink ref="E149" r:id="rId148" display="https://www.familyhandyman.com/list/most-popular-home-repairs-for-new-homeowners/"/>
    <hyperlink ref="E150" r:id="rId149" display="https://www.lowes.com/n/how-to/repair-a-leaky-faucet"/>
    <hyperlink ref="E151" r:id="rId150" display="https://www.bobvila.com/diy/diy-home-repairs/"/>
    <hyperlink ref="E152" r:id="rId151" display="https://www.hemlane.com/resources/rental-property-maintenance-requests/"/>
    <hyperlink ref="E153" r:id="rId152" display="https://www.avail.com/education/articles/most-reported-tenant-maintenance-issues"/>
    <hyperlink ref="E154" r:id="rId153" display="https://www.thumbtack.com/p/sink-repair-cost"/>
    <hyperlink ref="E155" r:id="rId154" display="https://www.servicemagic.com/tloc/San-Bernardino-CA/Faucets-Fixtures-and-Pipes-Repair-or-Replace/"/>
    <hyperlink ref="E156" r:id="rId155" display="https://www.bigrentz.com/blog/home-maintenance-survey"/>
    <hyperlink ref="E157" r:id="rId156" display="https://ifamagazine.com/diy-britain-10-home-repairs-brits-struggle-with-most-from-clogged-toilets-to-changing-bulbs-2/"/>
    <hyperlink ref="E158" r:id="rId157" display="https://www.angi.com/articles/how-much-does-it-cost-install-outdoor-outlet.htm"/>
    <hyperlink ref="E159" r:id="rId158" display="https://www.amenify.com/blog/top-handyman-tasks-for-homeowners-in-us"/>
    <hyperlink ref="E160" r:id="rId159" display="https://www.bobvila.com/articles/handyman-services-list/"/>
    <hyperlink ref="E161" r:id="rId160" display="https://www.repairpricer.com/common-repairs-needed-after-home-inspection/"/>
    <hyperlink ref="E162" r:id="rId161" display="https://www.prnewswire.com/news-releases/repair-pricer-inspection-report-reveals-over-a-million-repairs-needed-for-homes-across-the-us-301308868.html"/>
    <hyperlink ref="E163" r:id="rId162" display="https://www.bobvila.com/articles/easy-home-repairs/"/>
    <hyperlink ref="E164" r:id="rId163" display="https://corporate.lowes.com/newsroom/press-releases/lowes-debuts-new-way-teach-millennials-how-make-basic-home-repairs-helping-homeowners-build-diy-confidence-and-save-costs-11-10-23"/>
    <hyperlink ref="E165" r:id="rId164" display="https://www.tenantcloud.com/maintenance/the-complete-guide-to-managing-rental-property-maintenance-requests"/>
    <hyperlink ref="E166" r:id="rId165" display="https://www.homedepot.com/services/c/outlet-installation/dd32342b6"/>
    <hyperlink ref="E167" r:id="rId166" display="https://www.angi.com/articles/cost-replace-27-electrical-outlets.htm"/>
    <hyperlink ref="E168" r:id="rId167" display="https://homeguide.com/costs/cost-to-replace-an-outlet"/>
    <hyperlink ref="E169" r:id="rId168" display="https://www.angi.com/articles/how-much-does-it-cost-install-outlet.htm"/>
    <hyperlink ref="E170" r:id="rId169" display="https://www.thimble.com/blog/what-are-the-most-requested-handyman-services"/>
    <hyperlink ref="E171" r:id="rId170" display="https://www.instaservice.com/blog/?p=38331"/>
    <hyperlink ref="E172" r:id="rId171" display="https://handoff.ai/blog/handyman-services-list-the-ultimate-guide"/>
    <hyperlink ref="E173" r:id="rId172" display="https://themreport.com/?p=7821683"/>
    <hyperlink ref="E174" r:id="rId173" display="https://www.familyhandyman.com/list/most-popular-home-repairs-for-new-homeowners/"/>
    <hyperlink ref="E175" r:id="rId174" display="https://support.hemlane.com/hc/en-us/articles/13155323950221-What-types-of-repairs-does-Hemlane-coordinate-with-the-Rent-Ready-service"/>
    <hyperlink ref="E176" r:id="rId175" display="https://www.berkeleyparentsnetwork.org/node/417311"/>
    <hyperlink ref="E177" r:id="rId176" display="https://www.thimble.com/blog/what-are-the-most-requested-handyman-services"/>
    <hyperlink ref="E178" r:id="rId177" display="https://www.globenewswire.com/news-release/2025/01/28/3016441/0/en/Angi-Releases-2024-State-of-Home-Spending-Report.html"/>
    <hyperlink ref="E179" r:id="rId178" display="https://www.taskrabbit.com/cost-guides/wall-mount-tv"/>
    <hyperlink ref="E180" r:id="rId179" display="https://www.thumbtack.com/p/tv-wall-mount-install-cost"/>
    <hyperlink ref="E181" r:id="rId180" display="https://www.angi.com/articles/how-much-does-buying-and-repairing-tv-cost.htm"/>
    <hyperlink ref="E182" r:id="rId181" display="https://getjobber.com/academy/handyman/handyman-services-list/"/>
    <hyperlink ref="E183" r:id="rId182" display="https://www.taskrabbit.com/blog/10-common-handyman-tasks-you-can-outsource-instead-of-trying-to-diy/"/>
    <hyperlink ref="E184" r:id="rId183" display="https://www.familyhandyman.com/list/home-improvements-you-should-never-pay-for/"/>
    <hyperlink ref="E185" r:id="rId184" display="https://www.asinsight.com/report/US/wall-tv-mount"/>
    <hyperlink ref="E186" r:id="rId185" display="https://www.washingtontimes.com/news/2016/nov/24/handy-crowdsourced-handyman-service-will-pick-up-o/"/>
    <hyperlink ref="E187" r:id="rId186" display="https://www.bestbuy.com/product/tv-basic-mounting-56-to-90/JCQ6HKTRGY"/>
    <hyperlink ref="E188" r:id="rId187" display="https://www.taskrabbit.com/"/>
    <hyperlink ref="E189" r:id="rId188" display="https://sunset.com/home-garden/design/most-popular-home-projects-summer-2024"/>
    <hyperlink ref="E190" r:id="rId189" display="https://www.thumbtack.com/pa/pittsburgh/wall-hanging-services"/>
    <hyperlink ref="E191" r:id="rId190" display="https://www.taskrabbit.com/locations/dallas/wall-mount-tv"/>
    <hyperlink ref="E192" r:id="rId191" display="https://www.enrichlabs.ai/blog/handyman-marketing-complete-guide-2026"/>
    <hyperlink ref="E193" r:id="rId192" display="https://www.thumbtack.com/tx/houston/wall-hanging-services"/>
    <hyperlink ref="E194" r:id="rId193" display="https://www.thumbtack.com/tx/dallas/wall-hanging-services"/>
    <hyperlink ref="E195" r:id="rId194" display="https://www.asinsight.com/report/US/tv-wall-mount"/>
    <hyperlink ref="E196" r:id="rId195" display="https://www.asinsight.com/report/US/tv-mount"/>
    <hyperlink ref="E197" r:id="rId196" display="https://themortgagereports.com/57788/how-home-maintenance-savvy-are-you-study-shows-most-americans-need-serious-help"/>
    <hyperlink ref="E198" r:id="rId197" display="https://www.thumbtack.com/p/locksmiths-prices"/>
    <hyperlink ref="E199" r:id="rId198" display="https://apps.apple.com/app/id604419063"/>
    <hyperlink ref="E200" r:id="rId199" display="https://academy.getjobber.com/handyman-services-list/"/>
    <hyperlink ref="E201" r:id="rId200" display="https://www.homedepot.com/c/alp/diy-workshops-homeowner-101-indoor/sdki-urjk"/>
    <hyperlink ref="E202" r:id="rId201" display="https://www.familyhandyman.com/list/stop-hiring-out-for-these-home-repairs/"/>
    <hyperlink ref="E203" r:id="rId202" display="https://www.hemlane.com/resources/rental-property-maintenance-requests/"/>
    <hyperlink ref="E204" r:id="rId203" display="https://www.baymgmtgroup.com/blog/rental-property-repair-costs/"/>
    <hyperlink ref="E205" r:id="rId204" display="https://www.bestbuy.com/site/smart-door-lock-installation/5577861.p?skuId=5577861"/>
    <hyperlink ref="E206" r:id="rId205" display="https://www.homeserve.com/blog/cost-guide/deadbolt-installation"/>
    <hyperlink ref="E207" r:id="rId206" display="https://angi.com/articles/keys-home-locksmith-assistance-and-costs.htm"/>
    <hyperlink ref="E208" r:id="rId207" display="https://www.taskrabbit.com/locations/denver/home-improvement"/>
    <hyperlink ref="E209" r:id="rId208" display="https://www.taskrabbit.com/blog/ikea-furniture-assembly-cost/"/>
    <hyperlink ref="E210" r:id="rId209" display="https://www.thumbtack.com/p/furniture-assembly-cost"/>
    <hyperlink ref="E211" r:id="rId210" display="https://www.taskrabbit.com/blog/2024-trend-report/"/>
    <hyperlink ref="E212" r:id="rId211" display="https://www.amenify.com/blog/top-handyman-tasks-for-homeowners-in-us"/>
    <hyperlink ref="E213" r:id="rId212" display="https://getjobber.com/academy/handyman/handyman-services-list/"/>
    <hyperlink ref="E214" r:id="rId213" display="https://www.taskrabbit.com/blog/10-common-handyman-tasks-you-can-outsource-instead-of-trying-to-diy/"/>
    <hyperlink ref="E215" r:id="rId214" display="https://invoicefly.com/academy/what-does-a-handyman-do/"/>
    <hyperlink ref="E216" r:id="rId215" display="https://www.12onyourside.com/story/33704059/amazon-home-services-coming-to-richmond/"/>
    <hyperlink ref="E217" r:id="rId216" display="https://www.washingtontimes.com/news/2016/nov/24/handy-crowdsourced-handyman-service-will-pick-up-o/"/>
    <hyperlink ref="E218" r:id="rId217" display="https://www.taskrabbit.com/"/>
    <hyperlink ref="E219" r:id="rId218" display="https://sunset.com/home-garden/design/most-popular-home-projects-summer-2024"/>
    <hyperlink ref="E220" r:id="rId219" display="https://www.taskrabbit.com/services/homary/assemble-furniture"/>
    <hyperlink ref="E221" r:id="rId220" display="https://www.taskrabbit.com/blog/wp-json/wp/v2/posts/30853"/>
    <hyperlink ref="E222" r:id="rId221" display="https://www.taskrabbit.com/locations/chicago/assemble-ikea-furniture"/>
    <hyperlink ref="E223" r:id="rId222" display="https://www.mybuilder.com/handyman/price-guides/ikea-assembly-cost"/>
    <hyperlink ref="E224" r:id="rId223" display="https://www.taskrabbit.com/locations/san-antonio/home-improvement"/>
    <hyperlink ref="E225" r:id="rId224" display="https://www.enrichlabs.ai/blog/handyman-marketing-complete-guide-2026"/>
    <hyperlink ref="E226" r:id="rId225" display="https://www.thumbtack.com/tx/dallas/furniture-assembly"/>
    <hyperlink ref="E227" r:id="rId226" display="https://marketkeep.com/seo-keywords-for-handyman-services/"/>
    <hyperlink ref="E228" r:id="rId227" display="https://www.angi.com/articles/what-are-common-handyman-prices.htm"/>
    <hyperlink ref="E229" r:id="rId228" display="https://www.taskrabbit.com/"/>
    <hyperlink ref="E230" r:id="rId229" display="https://www.airtasker.com/us/costs/handyman/handyman-prices/"/>
    <hyperlink ref="E231" r:id="rId230" display="https://www.bobvila.com/articles/handyman-services-list/"/>
    <hyperlink ref="E232" r:id="rId231" display="https://www.instaservice.com/blog/what-does-a-handyman-do-complete-list-of-handyman-services/"/>
    <hyperlink ref="E233" r:id="rId232" display="https://www.bobvila.com/slideshow/50-things-every-homeowner-should-know-how-to-do-46782/"/>
    <hyperlink ref="E234" r:id="rId233" display="https://orders.handy.com/services/hanging-pictures-shelves"/>
    <hyperlink ref="E235" r:id="rId234" display="https://www.homedepot.com/l/SW-Tulsa/OK/Tulsa/74137/3915/services"/>
    <hyperlink ref="E236" r:id="rId235" display="https://www.taskrabbit.com/"/>
    <hyperlink ref="E237" r:id="rId236" display="https://www.taskrabbit.com/locations/dallas/shelf-mounting"/>
    <hyperlink ref="E238" r:id="rId237" display="https://www.taskrabbit.com/locations/fort-worth/shelf-mounting"/>
    <hyperlink ref="E239" r:id="rId238" display="https://www.taskrabbit.com/locations/san-antonio/home-improvement"/>
    <hyperlink ref="E240" r:id="rId239" display="https://handymanconnection.com/victoria/?p=736105"/>
    <hyperlink ref="E241" r:id="rId240" display="https://themortgagereports.com/57788/how-home-maintenance-savvy-are-you-study-shows-most-americans-need-serious-help"/>
    <hyperlink ref="E242" r:id="rId241" display="https://www.angi.com/articles/how-much-does-installing-exterior-door-cost.htm"/>
    <hyperlink ref="E243" r:id="rId242" display="https://www.har.com/web/jacoblopez/blogs/146556"/>
    <hyperlink ref="E244" r:id="rId243" display="https://www.familyhandyman.com/list/15-diy-repairs-you-may-not-know-you-can-make-yourself/"/>
    <hyperlink ref="E245" r:id="rId244" display="https://www.familyhandyman.com/list/home-improvements-you-should-never-pay-for/"/>
    <hyperlink ref="E246" r:id="rId245" display="https://www.lowes.com/n/how-to/diy-projects-new-homeowners"/>
    <hyperlink ref="E247" r:id="rId246" display="https://oxmaint.com/blog/post/property-maintenance-requests-15-most-common-issues-and-prevention-tips"/>
    <hyperlink ref="E248" r:id="rId247" display="https://www.homedepot.com/services/c/door-hardware-installation/7d3f00689"/>
    <hyperlink ref="E249" r:id="rId248" display="https://www.mrhandyman.com/wheaton-hinsdale/geo/hinsdale/"/>
    <hyperlink ref="E250" r:id="rId249" display="https://www.homeadvisor.com/cost/doors-and-windows/weatherstripping-replacement-cost"/>
    <hyperlink ref="E251" r:id="rId250" display="https://www.housedoctors.com/austin-tx/blog/categories/handyman-services/preparing-your-home-for-austins-brutal-summer/"/>
    <hyperlink ref="E252" r:id="rId251" display="https://www.mrhandyman.com/plano/about-us/ask-a-pro/summer-home-prep-repairs-plano/"/>
    <hyperlink ref="E253" r:id="rId252" display="https://www.angi.com/articles/how-much-does-drain-cleaning-cost.htm"/>
    <hyperlink ref="E254" r:id="rId253" display="https://www.upcover.com/blog/most-requested-handyman-services-a-guide-for-success"/>
    <hyperlink ref="E255" r:id="rId254" display="https://www.homeserve.com/en-us/media/new-homeserve-survey-shows-growing-number-of-homeowners-face-home-repair-emergencies/"/>
    <hyperlink ref="E256" r:id="rId255" display="https://www.homeserve.com/media/biannual-state-of-the-home-survey-spring-2020"/>
    <hyperlink ref="E257" r:id="rId256" display="https://www.bobvila.com/slideshow/30-things-every-homeowner-should-know-how-to-do-46782"/>
    <hyperlink ref="E258" r:id="rId257" display="https://www.thisoldhouse.com/plumbing/no-sweat-plumbing-repairs"/>
    <hyperlink ref="E259" r:id="rId258" display="https://www.avail.com/education/articles/most-reported-tenant-maintenance-issues"/>
    <hyperlink ref="E260" r:id="rId259" display="https://ipropertymanagement.com/guides/rental-property-maintenance"/>
    <hyperlink ref="E261" r:id="rId260" display="https://www.hometips.com/repair-fix/toilet-repair-costs.html"/>
    <hyperlink ref="E262" r:id="rId261" display="https://anytimeplumbing.net/?p=962"/>
    <hyperlink ref="E263" r:id="rId262" display="https://ifamagazine.com/diy-britain-10-home-repairs-brits-struggle-with-most-from-clogged-toilets-to-changing-bulbs-2/"/>
    <hyperlink ref="E264" r:id="rId263" display="https://www.angi.com/articles/how-much-does-it-cost-replace-light-switch.htm"/>
    <hyperlink ref="E265" r:id="rId264" display="https://www.bark.com/en/us/handyman/new-york/"/>
    <hyperlink ref="E266" r:id="rId265" display="https://www.bobvila.com/articles/handyman-services-list/"/>
    <hyperlink ref="E267" r:id="rId266" display="https://www.buildzoom.com/answers/t/can-we-use-a-handyman-to-replace-a-garbage-disposal/1837"/>
    <hyperlink ref="E268" r:id="rId267" display="https://www.repairpricer.com/common-repairs-needed-after-home-inspection/"/>
    <hyperlink ref="E269" r:id="rId268" display="https://www.familyhandyman.com/list/15-diy-repairs-you-may-not-know-you-can-make-yourself/"/>
    <hyperlink ref="E270" r:id="rId269" display="https://corporate.lowes.com/newsroom/press-releases/lowes-debuts-new-way-teach-millennials-how-make-basic-home-repairs-helping-homeowners-build-diy-confidence-and-save-costs-11-10-23"/>
    <hyperlink ref="E271" r:id="rId270" display="https://www.hemlane.com/resources/rental-property-maintenance-requests/"/>
    <hyperlink ref="E272" r:id="rId271" display="https://www.homedepot.com/services/h/smart-home-installation"/>
    <hyperlink ref="E273" r:id="rId272" display="https://lowes.com/store/2833-show-low-az/smart-home-installation"/>
    <hyperlink ref="E274" r:id="rId273" display="https://www.thumbtack.com/p/toilet-installation-cost"/>
    <hyperlink ref="E275" r:id="rId274" display="https://www.instaservice.com/blog/?p=38212"/>
    <hyperlink ref="E276" r:id="rId275" display="https://www.frontdoor.com/blog/lifestyle/diy-home-improvement-and-repair-jobs-we-most-need-help-with"/>
    <hyperlink ref="E277" r:id="rId276" display="https://corporate.lowes.com/newsroom/press-releases/lowes-debuts-new-way-teach-millennials-how-make-basic-home-repairs-helping-homeowners-build-diy-confidence-and-save-costs-11-10-23"/>
    <hyperlink ref="E278" r:id="rId277" display="https://lowes.com/l/install/bathroom"/>
    <hyperlink ref="E279" r:id="rId278" display="https://www.homedepot.com/services/h/plumbing"/>
    <hyperlink ref="E280" r:id="rId279" display="https://www.berkeleyparentsnetwork.org/node/417311"/>
    <hyperlink ref="E281" r:id="rId280" display="https://www.taskrabbit.com/locations/san-antonio/home-improvement"/>
    <hyperlink ref="E282" r:id="rId281" display="https://www.angi.com/articles/cost-to-repair-leaking-pipe.htm"/>
    <hyperlink ref="E283" r:id="rId282" display="https://www.angi.com/articles/hire-handyman-complete-your-honey-do-list.htm"/>
    <hyperlink ref="E284" r:id="rId283" display="https://www.bobvila.com/articles/handyman-services-list/"/>
    <hyperlink ref="E285" r:id="rId284" display="https://www.homeserve.com/media/biannual-state-of-the-home-survey-spring-2020"/>
    <hyperlink ref="E286" r:id="rId285" display="https://www.har.com/web/jacoblopez/blogs/146556"/>
    <hyperlink ref="E287" r:id="rId286" display="https://www.familyhandyman.com/list/home-improvements-you-should-never-pay-for/"/>
    <hyperlink ref="E288" r:id="rId287" display="https://www.bobvila.com/diy/diy-home-repairs/"/>
    <hyperlink ref="E289" r:id="rId288" display="https://www.multifamilyinsiders.com/apartment-ideas/apartment-maintenance/10457-most-common-service-requests"/>
    <hyperlink ref="E290" r:id="rId289" display="https://www.hemlane.com/resources/rental-property-maintenance-requests/"/>
    <hyperlink ref="E291" r:id="rId290" display="https://www.thumbtack.com/p/sink-repair-cost"/>
    <hyperlink ref="E292" r:id="rId291" display="https://www.servicemagic.com/tloc/San-Bernardino-CA/Faucets-Fixtures-and-Pipes-Repair-or-Replace/"/>
    <hyperlink ref="E293" r:id="rId292" display="https://apps.apple.com/app/id604419063"/>
    <hyperlink ref="E294" r:id="rId293" display="https://getjobber.com/academy/handyman/handyman-services-list/"/>
    <hyperlink ref="E295" r:id="rId294" display="https://academy.getjobber.com/handyman-services-list/"/>
    <hyperlink ref="E296" r:id="rId295" display="https://www.frontdoor.com/blog/lifestyle/diy-home-improvement-and-repair-jobs-we-most-need-help-with"/>
    <hyperlink ref="E297" r:id="rId296" display="https://www.baymgmtgroup.com/blog/rental-property-repair-costs/"/>
    <hyperlink ref="E298" r:id="rId297" display="https://property-task-masters.lovable.app/turnover-services"/>
    <hyperlink ref="E299" r:id="rId298" display="https://www.homedepot.com/services/c/door-hardware-installation/7d3f00689"/>
    <hyperlink ref="E300" r:id="rId299" display="https://www.enrichlabs.ai/blog/handyman-marketing-complete-guide-2026"/>
    <hyperlink ref="E301" r:id="rId300" display="https://www.taskrabbit.com/locations/denver/home-improvement"/>
    <hyperlink ref="E302" r:id="rId301" display="https://www.angi.com/articles/home-repair-services-handyman-will-do.htm"/>
    <hyperlink ref="E303" r:id="rId302" display="https://www.dailymotion.com/video/x87d0sd"/>
    <hyperlink ref="E304" r:id="rId303" display="https://www.bobvila.com/slideshow/50-things-every-homeowner-should-know-how-to-do-46782/"/>
    <hyperlink ref="E305" r:id="rId304" display="https://www.lowes.com/n/how-to/diy-projects-new-homeowners"/>
    <hyperlink ref="E306" r:id="rId305" display="https://hexapm.com/apartment-maintenance-requests/"/>
    <hyperlink ref="E307" r:id="rId306" display="https://rentredi.com/blog/property-maintenance"/>
    <hyperlink ref="E308" r:id="rId307" display="https://www.berkeleyparentsnetwork.org/node/417311"/>
    <hyperlink ref="E309" r:id="rId308" display="https://www.housedoctors.com/austin-tx/blog/categories/handyman-services/preparing-your-home-for-austins-brutal-summer/"/>
    <hyperlink ref="E310" r:id="rId309" display="https://www.angi.com/articles/cost-install-smart-doorbell.htm"/>
    <hyperlink ref="E311" r:id="rId310" display="https://www.angi.com/articles/doorbell-installation-cost.htm"/>
    <hyperlink ref="E312" r:id="rId311" display="https://www.housecallpro.com/resources/working-in-the-trades/handyman-list-ideas/"/>
    <hyperlink ref="E313" r:id="rId312" display="https://www.bestbuy.com/site/video-doorbell-install/5732321.p?skuId=5732321"/>
    <hyperlink ref="E314" r:id="rId313" display="https://www.homedepot.com/services/h/smart-home-installation"/>
    <hyperlink ref="E315" r:id="rId314" display="https://www.bobvila.com/articles/doorbell-installation-cost.md"/>
    <hyperlink ref="E316" r:id="rId315" display="https://pocketsuite.io/book/mister-ios-llc/items/smart-devices"/>
    <hyperlink ref="E317" r:id="rId316" display="https://www.homeadvisor.com/tloc/Bordentown-NJ/Doorbell-Security-Camera-Installation-Install-or-Repair-Electrical-Switches-and-Outlets"/>
    <hyperlink ref="E318" r:id="rId317" display="https://qa4-www.canadiantire.ca/en/home-services/smart-home.html"/>
    <hyperlink ref="E319" r:id="rId318" display="https://www.parksassociates.com/blogs/in-the-news/video-doorbell-adoption-rises-to-20-in-us?page=8"/>
    <hyperlink ref="E320" r:id="rId319" display="https://www.consumerreports.org/smart-home/smart-home-tech-upgrades-to-help-sell-your-house/"/>
    <hyperlink ref="E321" r:id="rId320" display="https://talkofthevillages.com/forums/villages-florida-general-discussion-73/ecobee-smart-thermostat-yale-smart-door-lock-ring-doorbell-help-342069"/>
    <hyperlink ref="E322" r:id="rId321" display="https://intercom.help/jiffy/en/articles/2203108-smart-home-install"/>
    <hyperlink ref="E323" r:id="rId322" display="https://hookagency.com/blog/most-searched-home-services/"/>
    <hyperlink ref="E324" r:id="rId323" display="https://www.angi.com/articles/how-much-does-drain-cleaning-cost.htm"/>
    <hyperlink ref="E325" r:id="rId324" display="https://www.homeserve.com/media/biannual-state-of-the-home-survey-spring-2020"/>
    <hyperlink ref="E326" r:id="rId325" display="https://www.familyhandyman.com/list/most-popular-home-repairs-for-new-homeowners/"/>
    <hyperlink ref="E327" r:id="rId326" display="https://lowes.com/n/how-to/household-drain-problems"/>
    <hyperlink ref="E328" r:id="rId327" display="https://www.hemlane.com/resources/rental-property-maintenance-requests/"/>
    <hyperlink ref="E329" r:id="rId328" display="https://www.baymgmtgroup.com/blog/rental-property-repair-costs/"/>
    <hyperlink ref="E330" r:id="rId329" display="https://webcf.waybackmachine.org/web/20220415173606/https://www.angi.com/nearme/plumbers"/>
    <hyperlink ref="E331" r:id="rId330" display="https://www.thumbtack.com/p/plumbers-cost"/>
    <hyperlink ref="E332" r:id="rId331" display="https://themortgagereports.com/57788/how-home-maintenance-savvy-are-you-study-shows-most-americans-need-serious-help"/>
    <hyperlink ref="E333" r:id="rId332" display="https://emulent.com/resources/plumbing-seo-keywords-that-increase-service-calls"/>
    <hyperlink ref="E334" r:id="rId333" display="https://www.taskrabbit.com/services/mounting"/>
    <hyperlink ref="E335" r:id="rId334" display="https://www.handy.com/services/hanging-pictures-shelves"/>
    <hyperlink ref="E336" r:id="rId335" display="https://www.thumbtack.com/k/picture-hanging/near-me"/>
    <hyperlink ref="E337" r:id="rId336" display="https://www.bobvila.com/articles/what-does-a-handyman-do.md"/>
    <hyperlink ref="E338" r:id="rId337" display="https://www.instaservice.com/blog/?p=38331"/>
    <hyperlink ref="E339" r:id="rId338" display="https://www.diyweek.net/the-nations-most-googled-diy-questions"/>
    <hyperlink ref="E340" r:id="rId339" display="https://orders.handy.com/services/hanging-pictures-shelves"/>
    <hyperlink ref="E341" r:id="rId340" display="https://support.taskrabbit.com/hc/en-us/articles/360052736472-Which-Task-Categories-Should-I-Add-To-My-Profile"/>
    <hyperlink ref="E342" r:id="rId341" display="https://www.taskrabbit.com/"/>
    <hyperlink ref="E343" r:id="rId342" display="https://next-www.thumbtack.com/ga/cumming/picture-hanging/sedgwick/service/408578192316022788"/>
    <hyperlink ref="E344" r:id="rId343" display="https://www.thumbtack.com/tx/frisco/picture-hanging"/>
    <hyperlink ref="E345" r:id="rId344" display="https://www.thumbtack.com/p/blind-installation-cost"/>
    <hyperlink ref="E346" r:id="rId345" display="https://www.angi.com/articles/how-much-does-it-cost-install-blinds-or-shades/tx/dallas"/>
    <hyperlink ref="E347" r:id="rId346" display="https://www.taskrabbit.com/locations/austin/blinds-installation"/>
    <hyperlink ref="E348" r:id="rId347" display="https://www.bobvila.com/articles/hiring-a-handyman-near-me.md"/>
    <hyperlink ref="E349" r:id="rId348" display="https://getjobber.com/academy/handyman/handyman-services-list/"/>
    <hyperlink ref="E350" r:id="rId349" display="https://www.avail.com/education/articles/wear-and-tear-what-is-fair"/>
    <hyperlink ref="E351" r:id="rId350" display="https://www.homedepot.com/services/"/>
    <hyperlink ref="E352" r:id="rId351" display="https://orders.handy.com/services/install-window-treatments"/>
    <hyperlink ref="E353" r:id="rId352" display="https://www.taskrabbit.com/cost-guides/blinds-installation"/>
    <hyperlink ref="E354" r:id="rId353" display="https://homeguide.com/costs/window-treatment-cost"/>
    <hyperlink ref="E355" r:id="rId354" display="https://www.servicetitan.com/blog/handyman-services-list"/>
    <hyperlink ref="E356" r:id="rId355" display="https://homesmsp.com/2012/04/top-5-home-warranty-claims.html"/>
    <hyperlink ref="E357" r:id="rId356" display="https://rosieonthehouse.com/diy/how-can-i-counter-the-need-for-a-home-warranty/"/>
    <hyperlink ref="E358" r:id="rId357" display="https://www.mapcon.com/blog/2025/06/top-maintenance-requests-and-how-to-handle-them"/>
    <hyperlink ref="E359" r:id="rId358" display="https://www.bestbuy.com/site/dishwasher-installation/6254166.p?skuId=6254166"/>
    <hyperlink ref="E360" r:id="rId359" display="https://www.lowes.com/l/install/appliances"/>
    <hyperlink ref="E361" r:id="rId360" display="https://homeguide.com/costs/dishwasher-installation-cost"/>
    <hyperlink ref="E362" r:id="rId361" display="https://www.homeadvisor.com/tloc/Valrico-FL/Dishwasher-Repair-or-Install/"/>
    <hyperlink ref="E363" r:id="rId362" display="https://www.thumbtack.com/k/smart-lock-installation-and-repair/near-me"/>
    <hyperlink ref="E364" r:id="rId363" display="https://www.thumbtack.com/p/locksmiths-prices"/>
    <hyperlink ref="E365" r:id="rId364" display="https://getjobber.com/academy/handyman/handyman-services-list/"/>
    <hyperlink ref="E366" r:id="rId365" display="https://www.bestbuy.com/site/smart-door-lock-installation/5577861.p?skuId=5577861"/>
    <hyperlink ref="E367" r:id="rId366" display="https://www.homedepot.com/services/h/smart-home-installation"/>
    <hyperlink ref="E368" r:id="rId367" display="https://www.freedoniagroup.com/smart-home-security.html"/>
    <hyperlink ref="E369" r:id="rId368" display="https://www.consumerreports.org/smart-home/smart-home-tech-upgrades-to-help-sell-your-house/"/>
    <hyperlink ref="E370" r:id="rId369" display="https://talkofthevillages.com/forums/villages-florida-general-discussion-73/ecobee-smart-thermostat-yale-smart-door-lock-ring-doorbell-help-342069"/>
    <hyperlink ref="E371" r:id="rId370" display="https://intercom.help/jiffy/en/articles/2203108-smart-home-install"/>
    <hyperlink ref="E372" r:id="rId371" display="https://hookagency.com/blog/most-searched-home-services/"/>
    <hyperlink ref="E373" r:id="rId372" display="https://www.angi.com/articles/home-repair-services-handyman-will-do.htm"/>
    <hyperlink ref="E374" r:id="rId373" display="https://www.dailymotion.com/video/x87d0sd"/>
    <hyperlink ref="E375" r:id="rId374" display="https://www.repairpricer.com/common-repairs-needed-after-home-inspection/"/>
    <hyperlink ref="E376" r:id="rId375" display="https://www.diyweek.net/the-nations-most-googled-diy-questions"/>
    <hyperlink ref="E377" r:id="rId376" display="https://www.multifamilyinsiders.com/apartment-ideas/apartment-maintenance/10457-most-common-service-requests"/>
    <hyperlink ref="E378" r:id="rId377" display="https://hexapm.com/apartment-maintenance-requests/"/>
    <hyperlink ref="E379" r:id="rId378" display="https://rentredi.com/blog/property-maintenance"/>
    <hyperlink ref="E380" r:id="rId379" display="https://ifamagazine.com/diy-britain-10-home-repairs-brits-struggle-with-most-from-clogged-toilets-to-changing-bulbs-2/"/>
    <hyperlink ref="E381" r:id="rId380" display="https://www.angi.com/articles/how-much-does-drain-cleaning-cost.htm"/>
    <hyperlink ref="E382" r:id="rId381" display="https://www.bobvila.com/diy/quick-repair/"/>
    <hyperlink ref="E383" r:id="rId382" display="https://lowes.com/n/how-to/household-drain-problems"/>
    <hyperlink ref="E384" r:id="rId383" display="https://www.multifamilyinsiders.com/apartment-ideas/apartment-maintenance/10457-most-common-service-requests"/>
    <hyperlink ref="E385" r:id="rId384" display="https://www.baymgmtgroup.com/blog/rental-property-repair-costs/"/>
    <hyperlink ref="E386" r:id="rId385" display="https://webcf.waybackmachine.org/web/20220415173606/https://www.angi.com/nearme/plumbers"/>
    <hyperlink ref="E387" r:id="rId386" display="https://www.thumbtack.com/p/plumbers-cost"/>
    <hyperlink ref="E388" r:id="rId387" display="https://themortgagereports.com/57788/how-home-maintenance-savvy-are-you-study-shows-most-americans-need-serious-help"/>
    <hyperlink ref="E389" r:id="rId388" display="https://emulent.com/resources/plumbing-seo-keywords-that-increase-service-calls"/>
    <hyperlink ref="E390" r:id="rId389" display="https://www.thumbtack.com/p/window-screen-replacement-cost"/>
    <hyperlink ref="E391" r:id="rId390" display="https://academy.getjobber.com/handyman-services-list/"/>
    <hyperlink ref="E392" r:id="rId391" display="https://www.familyhandyman.com/list/15-diy-repairs-you-may-not-know-you-can-make-yourself/"/>
    <hyperlink ref="E393" r:id="rId392" display="https://www.familyhandyman.com/list/home-improvements-you-should-never-pay-for/"/>
    <hyperlink ref="E394" r:id="rId393" display="https://www.baymgmtgroup.com/blog/rental-property-repair-costs/"/>
    <hyperlink ref="E395" r:id="rId394" display="https://www.avail.com/education/articles/wear-and-tear-what-is-fair"/>
    <hyperlink ref="E396" r:id="rId395" display="https://www.angi.com/companylist/us/fl/lighthouse-point/window-screen-repair.htm"/>
    <hyperlink ref="E397" r:id="rId396" display="https://www.angi.com/articles/how-much-does-it-cost-install-home-security-system.htm"/>
    <hyperlink ref="E398" r:id="rId397" display="https://www.thumbtack.com/p/home-security-system-cost"/>
    <hyperlink ref="E399" r:id="rId398" display="https://getjobber.com/academy/handyman/handyman-services-list/"/>
    <hyperlink ref="E400" r:id="rId399" display="https://lowes.com/store/2833-show-low-az/smart-home-installation"/>
    <hyperlink ref="E401" r:id="rId400" display="https://pocketsuite.io/book/mister-ios-llc/items/smart-devices"/>
    <hyperlink ref="E402" r:id="rId401" display="https://www.homeadvisor.com/tloc/Bordentown-NJ/Doorbell-Security-Camera-Installation-Install-or-Repair-Electrical-Switches-and-Outlets"/>
    <hyperlink ref="E403" r:id="rId402" display="https://hookagency.com/blog/most-searched-home-services/"/>
    <hyperlink ref="E404" r:id="rId403" display="https://www.thumbtack.com/p/window-repair-cost"/>
    <hyperlink ref="E405" r:id="rId404" display="https://www.redfin.com/blog/new-construction-home-inspections-are-they-really-necessary/"/>
    <hyperlink ref="E406" r:id="rId405" display="https://www.har.com/web/jacoblopez/blogs/146556"/>
    <hyperlink ref="E407" r:id="rId406" display="https://oxmaint.com/blog/post/property-maintenance-requests-15-most-common-issues-and-prevention-tips"/>
    <hyperlink ref="E408" r:id="rId407" display="https://hexapm.com/apartment-maintenance-requests/"/>
    <hyperlink ref="E409" r:id="rId408" display="https://www.homeadvisor.com/cost/doors-and-windows/weatherstripping-replacement-cost"/>
    <hyperlink ref="E410" r:id="rId409" display="https://www.housedoctors.com/austin-tx/blog/categories/handyman-services/preparing-your-home-for-austins-brutal-summer/"/>
    <hyperlink ref="E411" r:id="rId410" display="https://www.angi.com/articles/hire-handyman-complete-your-honey-do-list.htm"/>
    <hyperlink ref="E412" r:id="rId411" display="https://www.dailymotion.com/video/x87d0sd"/>
    <hyperlink ref="E413" r:id="rId412" display="https://www.bobvila.com/diy/diy-home-repairs/"/>
    <hyperlink ref="E414" r:id="rId413" display="https://propertese.com/blog/property-management-maintenance-checklist-complete-guide-for-2026/"/>
    <hyperlink ref="E415" r:id="rId414" display="https://www.berkeleyparentsnetwork.org/node/417311"/>
    <hyperlink ref="E416" r:id="rId415" display="https://www.fairfaxcounty.gov/familyservices/older-adults/golden-gazette/2024-04-rebuilding-together-aff-neighbors-helping-neighbors-live-in-homes-that-are-safe-and-healthy"/>
    <hyperlink ref="E417" r:id="rId416" display="https://www.angi.com/articles/smoke-detector-installation-cost.htm"/>
    <hyperlink ref="E418" r:id="rId417" display="https://www.repairpricer.com/common-repairs-needed-after-home-inspection/"/>
    <hyperlink ref="E419" r:id="rId418" display="https://www.prnewswire.com/news-releases/repair-pricer-inspection-report-reveals-over-a-million-repairs-needed-for-homes-across-the-us-301308868.html"/>
    <hyperlink ref="E420" r:id="rId419" display="https://www.lowes.com/n/how-to/diy-projects-new-homeowners"/>
    <hyperlink ref="E421" r:id="rId420" display="https://ipropertymanagement.com/guides/rental-property-maintenance"/>
    <hyperlink ref="E422" r:id="rId421" display="https://search.nj211.org/search/b37dfd19-7aee-5424-a63c-2542f8845c55"/>
    <hyperlink ref="E423" r:id="rId422" display="https://www.taskrabbit.com/blog/10-common-handyman-tasks-you-can-outsource-instead-of-trying-to-diy/"/>
    <hyperlink ref="E424" r:id="rId423" display="https://www.housecallpro.com/resources/handyman-contract-template-sample/"/>
    <hyperlink ref="E425" r:id="rId424" display="https://www.repairpricer.com/common-repairs-needed-after-home-inspection/"/>
    <hyperlink ref="E426" r:id="rId425" display="https://www.prnewswire.com/news-releases/repair-pricer-inspection-report-reveals-over-a-million-repairs-needed-for-homes-across-the-us-301308868.html"/>
    <hyperlink ref="E427" r:id="rId426" display="https://www.har.com/web/jacoblopez/blogs/146556"/>
    <hyperlink ref="E428" r:id="rId427" display="https://handymanconnection.com/kelowna/"/>
    <hyperlink ref="E429" r:id="rId428" display="https://www.housedoctors.com/austin-tx/blog/categories/handyman-services/preparing-your-home-for-austins-brutal-summer/"/>
    <hyperlink ref="E430" r:id="rId429" display="https://www.mrhandyman.com/plano/about-us/ask-a-pro/summer-home-prep-repairs-plano/"/>
    <hyperlink ref="E431" r:id="rId430" display="https://www.taskrabbit.com/blog/10-common-handyman-tasks-you-can-outsource-instead-of-trying-to-diy/"/>
    <hyperlink ref="E432" r:id="rId431" display="https://www.taskrabbit.com/locations/austin/blinds-installation"/>
    <hyperlink ref="E433" r:id="rId432" display="https://www.airtasker.com/us/costs/handyman/handyman-prices/"/>
    <hyperlink ref="E434" r:id="rId433" display="https://www.lowes.com/n/ideas-inspiration/home-improvement-without-tools"/>
    <hyperlink ref="E435" r:id="rId434" display="https://orders.handy.com/services/install-window-treatments"/>
    <hyperlink ref="E436" r:id="rId435" display="https://www.thumbtack.com/tx/frisco/picture-hanging"/>
    <hyperlink ref="E437" r:id="rId436" display="https://www.airtasker.com/us/handyman/curtain-blinds-fitters/price/curtain-and-blind-installation-cost"/>
    <hyperlink ref="E438" r:id="rId437" display="https://next-www.thumbtack.com/ga/cumming/picture-hanging/sedgwick/service/408578192316022788"/>
    <hyperlink ref="E439" r:id="rId438" display="https://www.taskrabbit.com/locations/fort-worth/shelf-mounting"/>
    <hyperlink ref="E440" r:id="rId439" display="https://www.repairpricer.com/common-repairs-needed-after-home-inspection/"/>
    <hyperlink ref="E441" r:id="rId440" display="https://www.parealtors.org/blog/what-are-the-most-common-repairs-that-show-up-in-home-inspections/"/>
    <hyperlink ref="E442" r:id="rId441" display="https://www.harbertgroup.com/blog/943/Houston+Home+Inspection+Checklist+2026%3A+What+Sellers+Should+Fix+First"/>
    <hyperlink ref="E443" r:id="rId442" display="https://www.thisoldhouse.com/21017718/35-super-fast-fixes-and-easy-upgrades"/>
    <hyperlink ref="E444" r:id="rId443" display="https://lula.life/articles/rental-property-maintenance-management"/>
    <hyperlink ref="E445" r:id="rId444" display="https://oxmaint.com/blog/post/property-maintenance-requests-15-most-common-issues-and-prevention-tips"/>
    <hyperlink ref="E446" r:id="rId445" display="https://www.homeadvisor.com/cost/electrical/gfci-outlet-cost/"/>
    <hyperlink ref="E447" r:id="rId446" display="https://homeguide.com/costs/gfci-outlet-cost"/>
    <hyperlink ref="E448" r:id="rId447" display="https://homeguide.com/costs/electrical-outlet-repair-cost"/>
    <hyperlink ref="E449" r:id="rId448" display="https://www.angi.com/articles/electrical-outlet-repair-cost.htm"/>
    <hyperlink ref="E450" r:id="rId449" display="https://getjobber.com/academy/handyman/handyman-services-list/"/>
    <hyperlink ref="E451" r:id="rId450" display="https://smb.oxfordeagle.com/article/Home-Repair-Expert-Bryan-Harmon-Explains-the-Most-Common-Handyman-Tasks-in-HelloNation/6a08955bd6b3ec3c381af7f9"/>
    <hyperlink ref="E452" r:id="rId451" display="https://handymanconnection.com/parker/services/handyman-carpentry/"/>
    <hyperlink ref="E453" r:id="rId452" display="https://wealthnorth.ca/mortgages/property-types/home-maintenance-checklist-by-season/"/>
    <hyperlink ref="E454" r:id="rId453" display="https://mrhandyman.com/cinco-ranch-south-katy-west-houston/handyman-services/exterior/fence-repair"/>
    <hyperlink ref="E455" r:id="rId454" display="https://www.thisoldhouse.com/?p=67853"/>
    <hyperlink ref="E456" r:id="rId455" display="https://www.mrhandyman.com/plano/about-us/ask-a-pro/summer-home-prep-repairs-plano/"/>
    <hyperlink ref="E457" r:id="rId456" display="https://www.thumbtack.com/tx/houston/gate-repair"/>
    <hyperlink ref="E458" r:id="rId457" display="https://toprailfences.com/?p=5285"/>
    <hyperlink ref="E459" r:id="rId458" display="https://mrhandyman.com/cinco-ranch-south-katy-west-houston/handyman-services/exterior/fence-repair"/>
    <hyperlink ref="E460" r:id="rId459" display="https://getjobber.com/academy/handyman/handyman-services-list/"/>
    <hyperlink ref="E461" r:id="rId460" display="https://activerain.com/blogsview/5936195/nj-home-inspector--the-15-problems-i-find-during-almost-every-home-inspection"/>
    <hyperlink ref="E462" r:id="rId461" display="https://www.nachi.org/ten-problems-hhenews.htm"/>
    <hyperlink ref="E463" r:id="rId462" display="https://www.repairpricer.com/common-repairs-needed-after-home-inspection/"/>
    <hyperlink ref="E464" r:id="rId463" display="https://www.aol.com/lifestyle/much-does-cost-prep-home-155640898.html"/>
    <hyperlink ref="E465" r:id="rId464" display="https://www.thimble.com/blog/what-are-the-most-requested-handyman-services"/>
    <hyperlink ref="E466" r:id="rId465" display="https://www.housedoctors.com/austin-tx/blog/categories/handyman-services/preparing-your-home-for-austins-brutal-summer/"/>
    <hyperlink ref="E467" r:id="rId466" display="https://www.taskrabbit.com/locations/san-antonio/home-improvement"/>
    <hyperlink ref="E468" r:id="rId467" display="https://www.taskrabbit.com/blog/2024-trend-report/"/>
    <hyperlink ref="E469" r:id="rId468" display="https://www.angi.com/articles/how-much-does-home-automation-cost.htm"/>
    <hyperlink ref="E470" r:id="rId469" display="https://www.housecallpro.com/resources/working-in-the-trades/handyman-list-ideas/"/>
    <hyperlink ref="E471" r:id="rId470" display="https://webcf.waybackmachine.org/web/20221112055919/https://www.amazon.com/services"/>
    <hyperlink ref="E472" r:id="rId471" display="https://www.bestbuy.com/site/smart-home-security-services/smart-home-setup-installation/pcmcat1553538789739.c?id=pcmcat1553538789739"/>
    <hyperlink ref="E473" r:id="rId472" display="https://qa4-www.canadiantire.ca/en/home-services/smart-home.html"/>
    <hyperlink ref="E474" r:id="rId473" display="https://www.ontechsmartservices.com/pages/installation-pricing"/>
    <hyperlink ref="E475" r:id="rId474" display="https://www.redfin.com/blog/most-common-home-inspection-problems/"/>
    <hyperlink ref="E476" r:id="rId475" display="https://www.searchenginejournal.com/google-reveals-popular-searches/213648/"/>
    <hyperlink ref="E477" r:id="rId476" display="https://www.bobvila.com/diy/diy-home-repairs/"/>
    <hyperlink ref="E478" r:id="rId477" display="https://www.familyhandyman.com/list/15-diy-repairs-you-may-not-know-you-can-make-yourself/"/>
    <hyperlink ref="E479" r:id="rId478" display="https://www.avail.com/education/articles/most-reported-tenant-maintenance-issues"/>
    <hyperlink ref="E480" r:id="rId479" display="https://masslandlords.net/need-a-good-handyman-give-us-your-feedback-on-our-handyperson-proposal/"/>
    <hyperlink ref="E481" r:id="rId480" display="https://hdfoundationrepair.com/doors-windows-sticking-foundation-problems-dfw/"/>
    <hyperlink ref="E482" r:id="rId481" display="https://insightdiy.co.uk/news/us-homeowners-most-likely-to-put-off-painting-over-other-diy-tasks/10838.htm"/>
    <hyperlink ref="E483" r:id="rId482" display="https://themreport.com/?p=7821683"/>
    <hyperlink ref="E484" r:id="rId483" display="https://www.bobvila.com/diy/diy-home-repairs/"/>
    <hyperlink ref="E485" r:id="rId484" display="https://ipropertymanagement.com/guides/rental-property-maintenance"/>
    <hyperlink ref="E486" r:id="rId485" display="https://www.thimble.com/blog/what-are-the-most-requested-handyman-services"/>
    <hyperlink ref="E487" r:id="rId486" display="https://www.globenewswire.com/news-release/2025/01/28/3016441/0/en/Angi-Releases-2024-State-of-Home-Spending-Report.html"/>
    <hyperlink ref="E488" r:id="rId487" display="https://www.taskrabbit.com/locations/san-antonio/home-improvement"/>
    <hyperlink ref="E489" r:id="rId488" display="https://www.handy.com/services"/>
    <hyperlink ref="E490" r:id="rId489" display="https://www.familyhandyman.com/list/home-improvements-you-should-never-pay-for/"/>
    <hyperlink ref="E491" r:id="rId490" display="https://naahq.org/news/10-things-about-common-maintenance-work-orders"/>
    <hyperlink ref="E492" r:id="rId491" display="https://www.homeadvisor.com/cost/bathrooms/install-a-bath-fan/"/>
    <hyperlink ref="E493" r:id="rId492" display="https://homeguide.com/costs/cost-to-install-bathroom-exhaust-fan"/>
    <hyperlink ref="E494" r:id="rId493" display="https://www.thumbtack.com/p/fan-installation-cost"/>
    <hyperlink ref="E495" r:id="rId494" display="https://smb.oxfordeagle.com/article/Home-Repair-Expert-Bryan-Harmon-Explains-the-Most-Common-Handyman-Tasks-in-HelloNation/6a08955bd6b3ec3c381af7f9"/>
    <hyperlink ref="E496" r:id="rId495" display="https://www.frontdoor.com/blog/lifestyle/diy-home-improvement-and-repair-jobs-we-most-need-help-with"/>
    <hyperlink ref="E497" r:id="rId496" display="https://www.thisoldhouse.com/furniture/fast-fix-for-worn-drawers"/>
    <hyperlink ref="E498" r:id="rId497" display="https://www.avail.com/education/articles/most-reported-tenant-maintenance-issues"/>
    <hyperlink ref="E499" r:id="rId498" display="https://www.mapcon.com/blog/2025/06/top-maintenance-requests-and-how-to-handle-them"/>
    <hyperlink ref="E500" r:id="rId499" display="https://www.handy.com/services/mount-tv"/>
    <hyperlink ref="E501" r:id="rId500" display="https://www.bestbuy.com/site/add-on-specialized-tv-mounting/6462887.p?skuId=6462887"/>
    <hyperlink ref="E502" r:id="rId501" display="https://www.thumbtack.com/pa/pittsburgh/wall-hanging-services"/>
    <hyperlink ref="E503" r:id="rId502" display="https://www.thumbtack.com/tx/houston/wall-hanging-services"/>
    <hyperlink ref="E504" r:id="rId503" display="https://www.thumbtack.com/tx/dallas/wall-hanging-services"/>
    <hyperlink ref="E505" r:id="rId504" display="https://eyeonhousing.org/2023/05/remodeling-market-index-rmi-special-question-analysis-aging-in-place/"/>
    <hyperlink ref="E506" r:id="rId505" display="https://www.fairfaxcounty.gov/familyservices/older-adults/golden-gazette/2024-04-rebuilding-together-aff-neighbors-helping-neighbors-live-in-homes-that-are-safe-and-healthy"/>
    <hyperlink ref="E507" r:id="rId506" display="https://mn.gov/adresources/search/df6942e6-fa10-52cb-96de-a75ffc7212b3"/>
    <hyperlink ref="E508" r:id="rId507" display="https://www.homewyse.com/services/cost_to_install_grab_bars.html"/>
    <hyperlink ref="E509" r:id="rId508" display="https://homeguide.com/costs/grab-bar-installation-cost"/>
    <hyperlink ref="E510" r:id="rId509" display="https://www.fixr.com/costs/grab-bars-installation"/>
    <hyperlink ref="E511" r:id="rId510" display="https://consumeraffairs.com/homeowners/aging-in-place-home-modifications.html"/>
    <hyperlink ref="E512" r:id="rId511" display="https://detroitmi.gov/sites/detroitmi.localhost/files/2025-09/Housing%20Accessibility%20Checklist%20%28Large%20Print%29.pdf"/>
    <hyperlink ref="E513" r:id="rId512" display="https://www.lifeline.com/blog/how-to-install-grab-bars-in-no-time/"/>
    <hyperlink ref="E514" r:id="rId513" display="https://grabbars.com/how-much-does-grab-bar-installation-cost/"/>
    <hyperlink ref="E515" r:id="rId514" display="https://www.homeadvisor.com/tloc/Seagoville-TX/Garage-Door-Opener-Repair-or-Adjust"/>
    <hyperlink ref="E516" r:id="rId515" display="https://www.hunker.com/13771688/how-to-fix-a-garage-door/"/>
    <hyperlink ref="E517" r:id="rId516" display="https://www.libertyhomeguard.com/troubleshooting-your-garage-door-keypad"/>
    <hyperlink ref="E518" r:id="rId517" display="https://homeguide.com/costs/garage-door-repair-cost"/>
    <hyperlink ref="E519" r:id="rId518" display="https://www.fixr.com/costs/garage-door-repair"/>
    <hyperlink ref="E520" r:id="rId519" display="https://www.angi.com/articles/most-common-garage-door-repair-costs/ny/new-york"/>
    <hyperlink ref="E521" r:id="rId520" display="https://ahs.com/home-matters/repair-maintenance/how-to-troubleshoot-a-garage-door-keypad"/>
    <hyperlink ref="E522" r:id="rId521" display="https://a1garage.com/garage-door-opener-problems-and-fixes/"/>
    <hyperlink ref="E523" r:id="rId522" display="https://resident.com/home-and-living/2026/04/28/garage-door-not-opening-common-reasons-your-garage-door-opener-isnt-working"/>
    <hyperlink ref="E524" r:id="rId523" display="https://marketkeep.com/seo-keywords-for-handyman-services/"/>
    <hyperlink ref="E525" r:id="rId524" display="https://www.angi.com/articles/cost-replace-shower-head.htm"/>
    <hyperlink ref="E526" r:id="rId525" display="https://www.angi.com/articles/hire-handyman-complete-your-honey-do-list.htm"/>
    <hyperlink ref="E527" r:id="rId526" display="https://www.repairpricer.com/common-repairs-needed-after-home-inspection/"/>
    <hyperlink ref="E528" r:id="rId527" display="https://www.familyhandyman.com/list/home-repairs-you-can-do-yourself/"/>
    <hyperlink ref="E529" r:id="rId528" display="https://www.thisoldhouse.com/21017718/35-super-fast-fixes-and-easy-upgrades"/>
    <hyperlink ref="E530" r:id="rId529" display="https://www.lowes.com/n/how-to/how-to-fix-shower-faucets"/>
    <hyperlink ref="E531" r:id="rId530" display="https://invoicefly.com/academy/handyman-services/"/>
    <hyperlink ref="E532" r:id="rId531" display="https://getjobber.com/academy/handyman/handyman-services-list/"/>
    <hyperlink ref="E533" r:id="rId532" display="https://www.berkeleyparentsnetwork.org/node/417311"/>
    <hyperlink ref="E534" r:id="rId533" display="https://origin-2.fixr.com/costs/childproofing"/>
    <hyperlink ref="E535" r:id="rId534" display="https://webcf.waybackmachine.org/web/20231211070054/https://www.homeadvisor.com/cost/handyman"/>
    <hyperlink ref="E536" r:id="rId535" display="https://www.moneygeek.com/insurance/homeowners/resources/childproofing-your-home/"/>
    <hyperlink ref="E537" r:id="rId536" display="https://smb.oxfordeagle.com/article/Home-Repair-Expert-Bryan-Harmon-Explains-the-Most-Common-Handyman-Tasks-in-HelloNation/6a08955bd6b3ec3c381af7f9"/>
    <hyperlink ref="E538" r:id="rId537" display="https://www.thimble.com/blog/what-are-the-most-requested-handyman-services"/>
    <hyperlink ref="E539" r:id="rId538" display="https://www.familyhandyman.com/list/15-diy-repairs-you-may-not-know-you-can-make-yourself/"/>
    <hyperlink ref="E540" r:id="rId539" display="https://www.familyhandyman.com/list/home-improvements-you-should-never-pay-for/"/>
    <hyperlink ref="E541" r:id="rId540" display="https://www.thimble.com/blog/what-are-the-most-requested-handyman-services"/>
    <hyperlink ref="E542" r:id="rId541" display="https://www.housecallpro.com/licensing/handyman/texas/"/>
    <hyperlink ref="E543" r:id="rId542" display="https://www.repairpricer.com/common-repairs-needed-after-home-inspection/"/>
    <hyperlink ref="E544" r:id="rId543" display="https://support.vanmetrehomes.com/why-am-i-seeing-settlement-cracks-or-nail-pops"/>
    <hyperlink ref="E545" r:id="rId544" display="https://www.familyhandyman.com/list/most-popular-home-repairs-for-new-homeowners/"/>
    <hyperlink ref="E546" r:id="rId545" display="https://www.thisoldhouse.com/walls/how-to-patch-drywall"/>
    <hyperlink ref="E547" r:id="rId546" display="https://www.bobvila.com/diy/diy-home-repairs/"/>
    <hyperlink ref="E548" r:id="rId547" display="https://www.housedoctors.com/austin-tx/blog/categories/handyman-services/why-austins-clay-soil-wrecks-foundations-and-wha/"/>
    <hyperlink ref="E549" r:id="rId548" display="https://www.thimble.com/blog/what-are-the-most-requested-handyman-services"/>
    <hyperlink ref="E550" r:id="rId549" display="https://getjobber.com/academy/handyman/handyman-services-list/"/>
    <hyperlink ref="E551" r:id="rId550" display="https://www.familyhandyman.com/list/stop-hiring-out-for-these-home-repairs/"/>
    <hyperlink ref="E552" r:id="rId551" display="https://www.taskrabbit.com/locations/san-antonio/home-improvement"/>
    <hyperlink ref="E553" r:id="rId552" display="https://www.thimble.com/blog/what-are-the-most-requested-handyman-services"/>
    <hyperlink ref="E554" r:id="rId553" display="https://www.familyhandyman.com/list/15-diy-repairs-you-may-not-know-you-can-make-yourself/"/>
    <hyperlink ref="E555" r:id="rId554" display="https://www.avail.com/education/articles/most-reported-tenant-maintenance-issues"/>
    <hyperlink ref="E556" r:id="rId555" display="https://www.multifamilyinsiders.com/apartment-ideas/apartment-maintenance/10457-most-common-service-requests"/>
    <hyperlink ref="E557" r:id="rId556" display="https://www.hemlane.com/resources/rental-property-maintenance-requests/"/>
    <hyperlink ref="E558" r:id="rId557" display="https://www.loopexdigital.com/blog/plumbing-keywords-seo-ppc"/>
    <hyperlink ref="E559" r:id="rId558" display="https://www.familyhandyman.com/list/stop-hiring-out-for-these-home-repairs/"/>
    <hyperlink ref="E560" r:id="rId559" display="https://www.hemlane.com/resources/rental-property-maintenance-requests/"/>
    <hyperlink ref="E561" r:id="rId560" display="https://www.har.com/web/cano/blogs/141789"/>
    <hyperlink ref="E562" r:id="rId561" display="https://www.homeserve.com/blog/cost-guide/deadbolt-installation"/>
    <hyperlink ref="E563" r:id="rId562" display="https://angi.com/articles/keys-home-locksmith-assistance-and-costs.htm"/>
    <hyperlink ref="E564" r:id="rId563" display="https://www.thumbtack.com/guide/content/thumbtack-reveals-the-2025-most-festive-cities-where-homeowners-go-all-out-for-the-holidays"/>
    <hyperlink ref="E565" r:id="rId564" display="https://blog.thumbtack.com/thumbtack-reveals-the-2025-most-festive-cities-where-homeowners-go-all-out-for-the-holidays-f2e9ad0831e1"/>
    <hyperlink ref="E566" r:id="rId565" display="https://getjobber.com/academy/handyman/handyman-services-list/"/>
    <hyperlink ref="E567" r:id="rId566" display="https://www.washingtontimes.com/news/2016/nov/24/handy-crowdsourced-handyman-service-will-pick-up-o/"/>
    <hyperlink ref="E568" r:id="rId567" display="https://www.thumbtack.com/p/cabinet-refacing-cost"/>
    <hyperlink ref="E569" r:id="rId568" display="https://www.upcover.com/blog/most-requested-handyman-services-a-guide-for-success"/>
    <hyperlink ref="E570" r:id="rId569" display="https://www.bobvila.com/articles/hiring-a-handyman-near-me.md"/>
    <hyperlink ref="E571" r:id="rId570" display="https://www.homedepot.com/services/c/cabinet-hardware-installation/70b3b3464"/>
    <hyperlink ref="E572" r:id="rId571" display="https://www.poyst.com/business/handyman-connection-of-kitchener"/>
    <hyperlink ref="E573" r:id="rId572" display="https://www.familyhandyman.com/list/home-improvements-you-should-never-pay-for/"/>
    <hyperlink ref="E574" r:id="rId573" display="https://communityimpact.com/mckinney/business/mr-handyman-of-midwest-collin-county-finds-success-in-full-service-residential-commercial-property-repairs-maintenance/"/>
    <hyperlink ref="E575" r:id="rId574" display="https://handymanconnection.com/golden/"/>
    <hyperlink ref="E576" r:id="rId575" display="https://www.dailymotion.com/video/x87d0sd"/>
    <hyperlink ref="E577" r:id="rId576" display="https://www.homedepot.com/c/alp/diy-workshops-homeowner-101-indoor/sdki-urjk"/>
    <hyperlink ref="E578" r:id="rId577" display="https://www.avail.com/education/articles/most-reported-tenant-maintenance-issues"/>
    <hyperlink ref="E579" r:id="rId578" display="https://ipropertymanagement.com/guides/rental-property-maintenance"/>
    <hyperlink ref="E580" r:id="rId579" display="https://www.bobvila.com/articles/handyman-services-list/"/>
    <hyperlink ref="E581" r:id="rId580" display="https://www.harbertgroup.com/blog/943/Houston+Home+Inspection+Checklist+2026%3A+What+Sellers+Should+Fix+First"/>
    <hyperlink ref="E582" r:id="rId581" display="https://www.texasdisposal.com/blog/how-to-prepare-home-for-freeze-texas/"/>
    <hyperlink ref="E583" r:id="rId582" display="https://www.cbsnews.com/colorado/news/as-freezing-temps-move-in-pay-attention-to-exposed-pipes"/>
    <hyperlink ref="E584" r:id="rId583" display="https://www.lowes.com/n/how-to/how-to-repair-dishwasher"/>
    <hyperlink ref="E585" r:id="rId584" display="https://www.bobvila.com/diy/diy-home-repairs/"/>
    <hyperlink ref="E586" r:id="rId585" display="https://ipropertymanagement.com/guides/rental-property-maintenance"/>
    <hyperlink ref="E587" r:id="rId586" display="https://www.homeadvisor.com/tloc/Valrico-FL/Dishwasher-Repair-or-Install/"/>
    <hyperlink ref="E588" r:id="rId587" display="https://www.rotorooter.com/blog/plumbing/state-of-home-repair-in-2024/"/>
    <hyperlink ref="E589" r:id="rId588" display="https://ipropertymanagement.com/guides/rental-property-maintenance"/>
    <hyperlink ref="E590" r:id="rId589" display="https://rentredi.com/blog/property-maintenance"/>
    <hyperlink ref="E591" r:id="rId590" display="https://www.taskrabbit.com/locations/san-antonio/home-improvement"/>
    <hyperlink ref="E592" r:id="rId591" display="https://www.thumbtack.com/-Houston-TX/service/3799652"/>
    <hyperlink ref="E593" r:id="rId592" display="https://www.lowes.com/n/how-to/diy-projects-new-homeowners"/>
    <hyperlink ref="E594" r:id="rId593" display="https://homedepot.com/l/Lemmon-Avenue/TX/Dallas/75209/589/services"/>
    <hyperlink ref="E595" r:id="rId594" display="https://www.angi.com/articles/how-much-should-toilet-repairs-cost.htm"/>
    <hyperlink ref="E596" r:id="rId595" display="https://www.frontdoor.com/blog/lifestyle/diy-home-improvement-and-repair-jobs-we-most-need-help-with"/>
    <hyperlink ref="E597" r:id="rId596" display="https://rentredi.com/blog/property-maintenance"/>
    <hyperlink ref="E598" r:id="rId597" display="https://www.taskrabbit.com/cost-guides/assemble-furniture"/>
    <hyperlink ref="E599" r:id="rId598" display="https://orders.handy.com/services/partner-furniture-assembly-service/miami"/>
    <hyperlink ref="E600" r:id="rId599" display="https://handymanconnection.com/ottawa/?p=742198"/>
    <hyperlink ref="E601" r:id="rId600" display="https://handymanconnection.com/mckinney-frisco/articles/how-to-setup-the-perfect-home-office-in-the-mckinney-area/"/>
    <hyperlink ref="E602" r:id="rId601" display="https://www.taskrabbit.com/blog/10-common-handyman-tasks-you-can-outsource-instead-of-trying-to-diy/"/>
    <hyperlink ref="E603" r:id="rId602" display="https://www.airtasker.com/us/costs/handyman/handyman-prices/"/>
    <hyperlink ref="E604" r:id="rId603" display="https://orders.handy.com/services/hanging-pictures-shelves"/>
    <hyperlink ref="E605" r:id="rId604" display="https://www.taskrabbit.com/services/mounting"/>
    <hyperlink ref="E606" r:id="rId605" display="https://webcf.waybackmachine.org/web/20221112055919/https://www.amazon.com/services"/>
    <hyperlink ref="E607" r:id="rId606" display="https://www.bestbuy.com/site/tv-home-theater-services/tv-mounting-packages/pcmcat748300648009.c?id=pcmcat748300648009"/>
    <hyperlink ref="E608" r:id="rId607" display="https://www.housecallpro.com/resources/handyman-contract-template-sample/"/>
    <hyperlink ref="E609" r:id="rId608" display="https://www.bestbuy.com/site/services/appliance-services/pcmcat255100050002.c?id=pcmcat255100050002"/>
    <hyperlink ref="E610" r:id="rId609" display="https://www.lowes.com/l/install/appliances"/>
    <hyperlink ref="E611" r:id="rId610" display="https://www.homeadvisor.com/tloc/Ridgeville-SC/Storm-Door-Repair"/>
    <hyperlink ref="E612" r:id="rId611" display="https://www.homeadvisor.com/tloc/Salisbury-NC/Hardware-Latches-Tracks-Door-Repair-or-Replace"/>
    <hyperlink ref="E613" r:id="rId612" display="https://masslandlords.net/need-a-good-handyman-give-us-your-feedback-on-our-handyperson-proposal/"/>
    <hyperlink ref="E614" r:id="rId613" display="https://www.frontdoor.com/blog/lifestyle/diy-home-improvement-and-repair-jobs-we-most-need-help-with"/>
    <hyperlink ref="E615" r:id="rId614" display="https://www.thisoldhouse.com/21017718/35-super-fast-fixes-and-easy-upgrades"/>
    <hyperlink ref="E616" r:id="rId615" display="https://www.bobvila.com/diy/diy-home-repairs/"/>
    <hyperlink ref="E617" r:id="rId616" display="https://www.fairfaxcounty.gov/familyservices/older-adults/golden-gazette/2024-04-rebuilding-together-aff-neighbors-helping-neighbors-live-in-homes-that-are-safe-and-healthy"/>
    <hyperlink ref="E618" r:id="rId617" display="https://indianapublicmedia.org/pdf/aarp-homefit-roombyroom.pdf"/>
    <hyperlink ref="E619" r:id="rId618" display="https://www.aarp.org/states/ohio/home-improvements-to-help-your-loved-one-age-in-place"/>
    <hyperlink ref="E620" r:id="rId619" display="https://www.taskrabbit.com/cost-guides/assemble-furniture"/>
    <hyperlink ref="E621" r:id="rId620" display="https://orders.handy.com/services/partner-furniture-assembly-service/miami"/>
    <hyperlink ref="E622" r:id="rId621" display="https://redlib.hbubli.cc/r/TaskRabbit/comments/1jfohpf/extremely_low_price"/>
    <hyperlink ref="E623" r:id="rId622" display="https://www.bestbuy.com/site/questions/lg-4-5-cu-ft-high-efficiency-top-load-washer-with-turbodrum-technology-white/6273800/question/bde8cce9-2778-37c8-a516-c26cae776bc6"/>
    <hyperlink ref="E624" r:id="rId623" display="https://www.lowes.com/l/install/appliances"/>
    <hyperlink ref="E625" r:id="rId624" display="https://www.taskrabbit.com/locations/san-antonio/home-improvement"/>
    <hyperlink ref="E626" r:id="rId625" display="https://www.taskrabbit.com/blog/how-to-easily-install-a-towel-bar-with-and-without-drilling/"/>
    <hyperlink ref="E627" r:id="rId626" display="https://www.taskrabbit.com/partner/swissmadison"/>
    <hyperlink ref="E628" r:id="rId627" display="https://next-www.thumbtack.com/ga/cumming/picture-hanging/sedgwick/service/408578192316022788"/>
    <hyperlink ref="E629" r:id="rId628" display="https://www.familyhandyman.com/list/15-diy-repairs-you-may-not-know-you-can-make-yourself/"/>
    <hyperlink ref="E630" r:id="rId629" display="https://www.familyhandyman.com/list/home-improvements-you-should-never-pay-for/"/>
    <hyperlink ref="E631" r:id="rId630" display="https://www.housecallpro.com/licensing/handyman/texas/"/>
    <hyperlink ref="E632" r:id="rId631" display="https://www.homeadvisor.com/tloc/Osseo-MN/Window-A-C-Unit-Install"/>
    <hyperlink ref="E633" r:id="rId632" display="https://apps.apple.com/app/id604419063"/>
    <hyperlink ref="E634" r:id="rId633" display="https://smb.oxfordeagle.com/article/Home-Repair-Expert-Bryan-Harmon-Explains-the-Most-Common-Handyman-Tasks-in-HelloNation/6a08955bd6b3ec3c381af7f9"/>
    <hyperlink ref="E635" r:id="rId634" display="https://www.har.com/web/jacoblopez/blogs/146556"/>
    <hyperlink ref="E636" r:id="rId635" display="https://www.redfin.com/blog/new-construction-home-inspections-are-they-really-necessary/"/>
    <hyperlink ref="E637" r:id="rId636" display="https://handymanconnection.com/parker/services/handyman-carpentry/"/>
    <hyperlink ref="E638" r:id="rId637" display="https://waypointinspection.com/blog/home-inspection/common-home-inspection-finds/"/>
    <hyperlink ref="E639" r:id="rId638" display="https://www.familyhandyman.com/list/stop-hiring-out-for-these-home-repairs/"/>
    <hyperlink ref="E640" r:id="rId639" display="https://getjobber.com/academy/handyman/handyman-services-list/"/>
    <hyperlink ref="E641" r:id="rId640" display="https://www.familyhandyman.com/list/home-improvements-you-should-never-pay-for/"/>
    <hyperlink ref="E642" r:id="rId641" display="https://www.repairpricer.com/common-repairs-needed-after-home-inspection/"/>
    <hyperlink ref="E643" r:id="rId642" display="https://www.lowes.com/n/how-to/how-to-fix-shower-faucets"/>
    <hyperlink ref="E644" r:id="rId643" display="https://www.frontdoor.com/blog/lifestyle/diy-home-improvement-and-repair-jobs-we-most-need-help-with"/>
    <hyperlink ref="E645" r:id="rId644" display="https://www.avail.com/education/articles/most-reported-tenant-maintenance-issues"/>
    <hyperlink ref="E646" r:id="rId645" display="https://www.frontdoor.com/blog/lifestyle/diy-home-improvement-and-repair-jobs-we-most-need-help-with"/>
    <hyperlink ref="E647" r:id="rId646" display="https://www.lowes.com/n/how-to/common-toilet-problems"/>
    <hyperlink ref="E648" r:id="rId647" display="https://www.texasdisposal.com/blog/how-to-prepare-home-for-freeze-texas/"/>
    <hyperlink ref="E649" r:id="rId648" display="https://www.cbsnews.com/texas/news/texas-what-to-do-if-your-pipes-burst-during-a-freeze-and-how-plumbers-say-you-can-prevent-it/"/>
    <hyperlink ref="E650" r:id="rId649" display="https://www.cbsnews.com/colorado/news/as-freezing-temps-move-in-pay-attention-to-exposed-pipes"/>
    <hyperlink ref="E651" r:id="rId650" display="https://azure.rotorooter.com/denver/resources/fall-plumbing-winterization/"/>
    <hyperlink ref="E652" r:id="rId651" display="https://www.servicetitan.com/blog/handyman-services-list"/>
    <hyperlink ref="E653" r:id="rId652" display="https://getjobber.com/academy/handyman/handyman-services-list/"/>
    <hyperlink ref="E654" r:id="rId653" display="https://invoicefly.com/academy/handyman-services/"/>
    <hyperlink ref="E655" r:id="rId654" display="https://www.familyhandyman.com/list/most-popular-home-repairs-for-new-homeowners/"/>
    <hyperlink ref="E656" r:id="rId655" display="https://www.bobvila.com/diy/diy-home-repairs/"/>
    <hyperlink ref="E657" r:id="rId656" display="https://www.homedepot.com/c/alp/home-improvement-ideas-building-material-guides/dqe7-zgd0/3"/>
    <hyperlink ref="E658" r:id="rId657" display="https://www.servicetitan.com/blog/handyman-services-list"/>
    <hyperlink ref="E659" r:id="rId658" display="https://getjobber.com/academy/handyman/handyman-services-list/"/>
    <hyperlink ref="E660" r:id="rId659" display="https://www.taskrabbit.com/cost-guides/assemble-furniture"/>
    <hyperlink ref="E661" r:id="rId660" display="https://www.taskrabbit.com/services/handyman"/>
    <hyperlink ref="E662" r:id="rId661" display="https://webcf.waybackmachine.org/web/20221112055919/https://www.amazon.com/services"/>
    <hyperlink ref="E663" r:id="rId662" display="https://www.retaildive.com/news/amazon-expands-home-services-to-20-more-us-cities/430368"/>
    <hyperlink ref="E664" r:id="rId663" display="https://www.taskrabbit.com/cost-guides/light-installation"/>
    <hyperlink ref="E665" r:id="rId664" display="https://www.thumbtack.com/p/lighting-installation-cost"/>
    <hyperlink ref="E666" r:id="rId665" display="https://www.familyhandyman.com/list/15-diy-repairs-you-may-not-know-you-can-make-yourself/"/>
    <hyperlink ref="E667" r:id="rId666" display="https://www.thisoldhouse.com/flooring/how-to-fix-squeaky-floors"/>
    <hyperlink ref="E668" r:id="rId667" display="https://www.hemlane.com/resources/rental-property-maintenance-requests/"/>
    <hyperlink ref="E669" r:id="rId668" display="https://www.tenantcloud.com/maintenance/the-complete-guide-to-managing-rental-property-maintenance-requests"/>
    <hyperlink ref="E670" r:id="rId669" display="https://www.angi.com/articles/doorbell-installation-cost.htm"/>
    <hyperlink ref="E671" r:id="rId670" display="https://www.lowes.com/l/install/appliances"/>
    <hyperlink ref="E672" r:id="rId671" display="https://www.taskrabbit.com/cost-guides/light-installation"/>
    <hyperlink ref="E673" r:id="rId672" display="https://www.taskrabbit.com/blog/10-common-handyman-tasks-you-can-outsource-instead-of-trying-to-diy/"/>
    <hyperlink ref="E674" r:id="rId673" display="https://www.avail.com/education/articles/wear-and-tear-what-is-fair"/>
    <hyperlink ref="E675" r:id="rId674" display="https://angi.com/articles/key-not-turning-in-lock.htm"/>
    <hyperlink ref="E676" r:id="rId675" display="https://rentpost.com/resources/article/how-to-fix-a-sticky-lock"/>
    <hyperlink ref="E678" r:id="rId676" display="https://www.thisoldhouse.com/home-finances/home-warranty-survey"/>
    <hyperlink ref="E679" r:id="rId677" display="https://sunset.com/home-garden/design/most-popular-home-projects-summer-20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7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80"/>
    <col collapsed="false" customWidth="true" hidden="false" outlineLevel="0" max="3" min="3" style="0" width="22"/>
  </cols>
  <sheetData>
    <row r="1" customFormat="false" ht="15" hidden="false" customHeight="false" outlineLevel="0" collapsed="false">
      <c r="A1" s="1" t="s">
        <v>1648</v>
      </c>
      <c r="B1" s="1" t="s">
        <v>1649</v>
      </c>
      <c r="C1" s="1" t="s">
        <v>1650</v>
      </c>
    </row>
    <row r="2" customFormat="false" ht="23.85" hidden="false" customHeight="false" outlineLevel="0" collapsed="false">
      <c r="A2" s="3" t="s">
        <v>1651</v>
      </c>
      <c r="B2" s="3" t="s">
        <v>1652</v>
      </c>
      <c r="C2" s="3" t="s">
        <v>1653</v>
      </c>
    </row>
    <row r="3" customFormat="false" ht="15" hidden="false" customHeight="false" outlineLevel="0" collapsed="false">
      <c r="A3" s="3" t="s">
        <v>1654</v>
      </c>
      <c r="B3" s="3" t="s">
        <v>1655</v>
      </c>
      <c r="C3" s="3" t="s">
        <v>1656</v>
      </c>
    </row>
    <row r="4" customFormat="false" ht="15" hidden="false" customHeight="false" outlineLevel="0" collapsed="false">
      <c r="A4" s="3" t="s">
        <v>1657</v>
      </c>
      <c r="B4" s="3" t="s">
        <v>1658</v>
      </c>
      <c r="C4" s="3" t="s">
        <v>1659</v>
      </c>
    </row>
    <row r="5" customFormat="false" ht="15" hidden="false" customHeight="false" outlineLevel="0" collapsed="false">
      <c r="A5" s="3" t="s">
        <v>1660</v>
      </c>
      <c r="B5" s="3" t="s">
        <v>1661</v>
      </c>
      <c r="C5" s="3" t="s">
        <v>1662</v>
      </c>
    </row>
    <row r="6" customFormat="false" ht="23.85" hidden="false" customHeight="false" outlineLevel="0" collapsed="false">
      <c r="A6" s="3" t="s">
        <v>1663</v>
      </c>
      <c r="B6" s="3" t="s">
        <v>1664</v>
      </c>
      <c r="C6" s="3" t="s">
        <v>1665</v>
      </c>
    </row>
    <row r="7" customFormat="false" ht="15" hidden="false" customHeight="false" outlineLevel="0" collapsed="false">
      <c r="A7" s="3" t="s">
        <v>1666</v>
      </c>
      <c r="B7" s="3" t="s">
        <v>1667</v>
      </c>
      <c r="C7" s="3" t="s">
        <v>1668</v>
      </c>
    </row>
    <row r="8" customFormat="false" ht="23.85" hidden="false" customHeight="false" outlineLevel="0" collapsed="false">
      <c r="A8" s="3" t="s">
        <v>1669</v>
      </c>
      <c r="B8" s="3" t="s">
        <v>1670</v>
      </c>
      <c r="C8" s="3" t="s">
        <v>1671</v>
      </c>
    </row>
    <row r="9" customFormat="false" ht="15" hidden="false" customHeight="false" outlineLevel="0" collapsed="false">
      <c r="A9" s="3" t="s">
        <v>1672</v>
      </c>
      <c r="B9" s="3" t="s">
        <v>1673</v>
      </c>
      <c r="C9" s="3" t="s">
        <v>1674</v>
      </c>
    </row>
    <row r="10" customFormat="false" ht="15" hidden="false" customHeight="false" outlineLevel="0" collapsed="false">
      <c r="A10" s="3" t="s">
        <v>1675</v>
      </c>
      <c r="B10" s="3" t="s">
        <v>1676</v>
      </c>
      <c r="C10" s="3" t="s">
        <v>1677</v>
      </c>
    </row>
    <row r="11" customFormat="false" ht="23.85" hidden="false" customHeight="false" outlineLevel="0" collapsed="false">
      <c r="A11" s="3" t="s">
        <v>1678</v>
      </c>
      <c r="B11" s="3" t="s">
        <v>1679</v>
      </c>
      <c r="C11" s="3" t="s">
        <v>1680</v>
      </c>
    </row>
    <row r="12" customFormat="false" ht="23.85" hidden="false" customHeight="false" outlineLevel="0" collapsed="false">
      <c r="A12" s="3" t="s">
        <v>1681</v>
      </c>
      <c r="B12" s="3" t="s">
        <v>1682</v>
      </c>
      <c r="C12" s="3" t="s">
        <v>1680</v>
      </c>
    </row>
    <row r="13" customFormat="false" ht="15" hidden="false" customHeight="false" outlineLevel="0" collapsed="false">
      <c r="A13" s="3" t="s">
        <v>1683</v>
      </c>
      <c r="B13" s="3" t="s">
        <v>1684</v>
      </c>
      <c r="C13" s="3" t="s">
        <v>1680</v>
      </c>
    </row>
    <row r="14" customFormat="false" ht="15" hidden="false" customHeight="false" outlineLevel="0" collapsed="false">
      <c r="A14" s="3" t="s">
        <v>1685</v>
      </c>
      <c r="B14" s="3" t="s">
        <v>1686</v>
      </c>
      <c r="C14" s="3" t="s">
        <v>1687</v>
      </c>
    </row>
    <row r="15" customFormat="false" ht="23.85" hidden="false" customHeight="false" outlineLevel="0" collapsed="false">
      <c r="A15" s="3" t="s">
        <v>1688</v>
      </c>
      <c r="B15" s="3" t="s">
        <v>1689</v>
      </c>
      <c r="C15" s="3" t="s">
        <v>1690</v>
      </c>
    </row>
    <row r="16" customFormat="false" ht="15" hidden="false" customHeight="false" outlineLevel="0" collapsed="false">
      <c r="A16" s="3" t="s">
        <v>1691</v>
      </c>
      <c r="B16" s="3" t="s">
        <v>1692</v>
      </c>
      <c r="C16" s="3" t="s">
        <v>1693</v>
      </c>
    </row>
    <row r="17" customFormat="false" ht="15" hidden="false" customHeight="false" outlineLevel="0" collapsed="false">
      <c r="A17" s="3" t="s">
        <v>1694</v>
      </c>
      <c r="B17" s="3" t="s">
        <v>1695</v>
      </c>
      <c r="C17" s="3" t="s">
        <v>1696</v>
      </c>
    </row>
    <row r="18" customFormat="false" ht="15" hidden="false" customHeight="false" outlineLevel="0" collapsed="false">
      <c r="A18" s="3" t="s">
        <v>1697</v>
      </c>
      <c r="B18" s="3" t="s">
        <v>1698</v>
      </c>
      <c r="C18" s="3" t="s">
        <v>1699</v>
      </c>
    </row>
    <row r="19" customFormat="false" ht="23.85" hidden="false" customHeight="false" outlineLevel="0" collapsed="false">
      <c r="A19" s="3" t="s">
        <v>1700</v>
      </c>
      <c r="B19" s="3" t="s">
        <v>1701</v>
      </c>
      <c r="C19" s="3" t="s">
        <v>1702</v>
      </c>
    </row>
    <row r="20" customFormat="false" ht="15" hidden="false" customHeight="false" outlineLevel="0" collapsed="false">
      <c r="A20" s="3" t="s">
        <v>1703</v>
      </c>
      <c r="B20" s="3" t="s">
        <v>1704</v>
      </c>
      <c r="C20" s="3" t="s">
        <v>1665</v>
      </c>
    </row>
    <row r="21" customFormat="false" ht="15" hidden="false" customHeight="false" outlineLevel="0" collapsed="false">
      <c r="A21" s="3" t="s">
        <v>1705</v>
      </c>
      <c r="B21" s="3" t="s">
        <v>1706</v>
      </c>
      <c r="C21" s="3" t="s">
        <v>441</v>
      </c>
    </row>
    <row r="22" customFormat="false" ht="23.85" hidden="false" customHeight="false" outlineLevel="0" collapsed="false">
      <c r="A22" s="3" t="s">
        <v>1707</v>
      </c>
      <c r="B22" s="3" t="s">
        <v>1708</v>
      </c>
      <c r="C22" s="3" t="s">
        <v>1674</v>
      </c>
    </row>
    <row r="23" customFormat="false" ht="15" hidden="false" customHeight="false" outlineLevel="0" collapsed="false">
      <c r="A23" s="3" t="s">
        <v>1709</v>
      </c>
      <c r="B23" s="3" t="s">
        <v>1710</v>
      </c>
      <c r="C23" s="3" t="s">
        <v>431</v>
      </c>
    </row>
    <row r="24" customFormat="false" ht="15" hidden="false" customHeight="false" outlineLevel="0" collapsed="false">
      <c r="A24" s="3" t="s">
        <v>1711</v>
      </c>
      <c r="B24" s="3" t="s">
        <v>1712</v>
      </c>
      <c r="C24" s="3" t="s">
        <v>1713</v>
      </c>
    </row>
    <row r="25" customFormat="false" ht="23.85" hidden="false" customHeight="false" outlineLevel="0" collapsed="false">
      <c r="A25" s="3" t="s">
        <v>1714</v>
      </c>
      <c r="B25" s="3" t="s">
        <v>1715</v>
      </c>
      <c r="C25" s="3" t="s">
        <v>1716</v>
      </c>
    </row>
    <row r="26" customFormat="false" ht="15" hidden="false" customHeight="false" outlineLevel="0" collapsed="false">
      <c r="A26" s="3" t="s">
        <v>1717</v>
      </c>
      <c r="B26" s="3" t="s">
        <v>1718</v>
      </c>
      <c r="C26" s="3" t="s">
        <v>1696</v>
      </c>
    </row>
    <row r="27" customFormat="false" ht="15" hidden="false" customHeight="false" outlineLevel="0" collapsed="false">
      <c r="A27" s="3" t="s">
        <v>1719</v>
      </c>
      <c r="B27" s="3" t="s">
        <v>1720</v>
      </c>
      <c r="C27" s="3" t="s">
        <v>1721</v>
      </c>
    </row>
    <row r="28" customFormat="false" ht="15" hidden="false" customHeight="false" outlineLevel="0" collapsed="false">
      <c r="A28" s="3" t="s">
        <v>1722</v>
      </c>
      <c r="B28" s="3" t="s">
        <v>1723</v>
      </c>
      <c r="C28" s="3" t="s">
        <v>1677</v>
      </c>
    </row>
    <row r="29" customFormat="false" ht="15" hidden="false" customHeight="false" outlineLevel="0" collapsed="false">
      <c r="A29" s="3" t="s">
        <v>1724</v>
      </c>
      <c r="B29" s="3" t="s">
        <v>1725</v>
      </c>
      <c r="C29" s="3" t="s">
        <v>1726</v>
      </c>
    </row>
    <row r="30" customFormat="false" ht="23.85" hidden="false" customHeight="false" outlineLevel="0" collapsed="false">
      <c r="A30" s="3" t="s">
        <v>1727</v>
      </c>
      <c r="B30" s="3" t="s">
        <v>1728</v>
      </c>
      <c r="C30" s="3" t="s">
        <v>441</v>
      </c>
    </row>
    <row r="31" customFormat="false" ht="15" hidden="false" customHeight="false" outlineLevel="0" collapsed="false">
      <c r="A31" s="3" t="s">
        <v>1729</v>
      </c>
      <c r="B31" s="3" t="s">
        <v>1730</v>
      </c>
      <c r="C31" s="3" t="s">
        <v>1731</v>
      </c>
    </row>
    <row r="32" customFormat="false" ht="15" hidden="false" customHeight="false" outlineLevel="0" collapsed="false">
      <c r="A32" s="3" t="s">
        <v>1732</v>
      </c>
      <c r="B32" s="3" t="s">
        <v>1733</v>
      </c>
      <c r="C32" s="3" t="s">
        <v>448</v>
      </c>
    </row>
    <row r="33" customFormat="false" ht="15" hidden="false" customHeight="false" outlineLevel="0" collapsed="false">
      <c r="A33" s="3" t="s">
        <v>1734</v>
      </c>
      <c r="B33" s="3" t="s">
        <v>1735</v>
      </c>
      <c r="C33" s="3" t="s">
        <v>463</v>
      </c>
    </row>
    <row r="34" customFormat="false" ht="23.85" hidden="false" customHeight="false" outlineLevel="0" collapsed="false">
      <c r="A34" s="3" t="s">
        <v>1736</v>
      </c>
      <c r="B34" s="3" t="s">
        <v>1737</v>
      </c>
      <c r="C34" s="3" t="s">
        <v>1665</v>
      </c>
    </row>
    <row r="35" customFormat="false" ht="15" hidden="false" customHeight="false" outlineLevel="0" collapsed="false">
      <c r="A35" s="3" t="s">
        <v>1738</v>
      </c>
      <c r="B35" s="3" t="s">
        <v>1739</v>
      </c>
      <c r="C35" s="3" t="s">
        <v>431</v>
      </c>
    </row>
    <row r="36" customFormat="false" ht="23.85" hidden="false" customHeight="false" outlineLevel="0" collapsed="false">
      <c r="A36" s="3" t="s">
        <v>1740</v>
      </c>
      <c r="B36" s="3" t="s">
        <v>1741</v>
      </c>
      <c r="C36" s="3" t="s">
        <v>1742</v>
      </c>
    </row>
    <row r="37" customFormat="false" ht="35.05" hidden="false" customHeight="false" outlineLevel="0" collapsed="false">
      <c r="A37" s="3" t="s">
        <v>1743</v>
      </c>
      <c r="B37" s="3" t="s">
        <v>1744</v>
      </c>
      <c r="C37" s="3" t="s">
        <v>1745</v>
      </c>
    </row>
    <row r="38" customFormat="false" ht="23.85" hidden="false" customHeight="false" outlineLevel="0" collapsed="false">
      <c r="A38" s="3" t="s">
        <v>1746</v>
      </c>
      <c r="B38" s="3" t="s">
        <v>1747</v>
      </c>
      <c r="C38" s="3" t="s">
        <v>1748</v>
      </c>
    </row>
    <row r="39" customFormat="false" ht="35.05" hidden="false" customHeight="false" outlineLevel="0" collapsed="false">
      <c r="A39" s="3" t="s">
        <v>1749</v>
      </c>
      <c r="B39" s="3" t="s">
        <v>1750</v>
      </c>
      <c r="C39" s="3" t="s">
        <v>1751</v>
      </c>
    </row>
    <row r="40" customFormat="false" ht="46.25" hidden="false" customHeight="false" outlineLevel="0" collapsed="false">
      <c r="A40" s="3" t="s">
        <v>1752</v>
      </c>
      <c r="B40" s="3" t="s">
        <v>1753</v>
      </c>
      <c r="C40" s="3" t="s">
        <v>1754</v>
      </c>
    </row>
    <row r="41" customFormat="false" ht="35.05" hidden="false" customHeight="false" outlineLevel="0" collapsed="false">
      <c r="A41" s="3" t="s">
        <v>1755</v>
      </c>
      <c r="B41" s="3" t="s">
        <v>1756</v>
      </c>
      <c r="C41" s="3" t="s">
        <v>477</v>
      </c>
    </row>
    <row r="42" customFormat="false" ht="23.85" hidden="false" customHeight="false" outlineLevel="0" collapsed="false">
      <c r="A42" s="3" t="s">
        <v>1757</v>
      </c>
      <c r="B42" s="3" t="s">
        <v>1758</v>
      </c>
      <c r="C42" s="3" t="s">
        <v>1759</v>
      </c>
    </row>
    <row r="43" customFormat="false" ht="35.05" hidden="false" customHeight="false" outlineLevel="0" collapsed="false">
      <c r="A43" s="3" t="s">
        <v>1760</v>
      </c>
      <c r="B43" s="3" t="s">
        <v>1761</v>
      </c>
      <c r="C43" s="3" t="s">
        <v>1759</v>
      </c>
    </row>
    <row r="44" customFormat="false" ht="23.85" hidden="false" customHeight="false" outlineLevel="0" collapsed="false">
      <c r="A44" s="3" t="s">
        <v>1762</v>
      </c>
      <c r="B44" s="3" t="s">
        <v>1763</v>
      </c>
      <c r="C44" s="3" t="s">
        <v>467</v>
      </c>
    </row>
    <row r="45" customFormat="false" ht="23.85" hidden="false" customHeight="false" outlineLevel="0" collapsed="false">
      <c r="A45" s="3" t="s">
        <v>1764</v>
      </c>
      <c r="B45" s="3" t="s">
        <v>1765</v>
      </c>
      <c r="C45" s="3" t="s">
        <v>467</v>
      </c>
    </row>
    <row r="46" customFormat="false" ht="35.05" hidden="false" customHeight="false" outlineLevel="0" collapsed="false">
      <c r="A46" s="3" t="s">
        <v>1766</v>
      </c>
      <c r="B46" s="3" t="s">
        <v>1767</v>
      </c>
      <c r="C46" s="3" t="s">
        <v>1759</v>
      </c>
    </row>
    <row r="47" customFormat="false" ht="23.85" hidden="false" customHeight="false" outlineLevel="0" collapsed="false">
      <c r="A47" s="3" t="s">
        <v>1768</v>
      </c>
      <c r="B47" s="3" t="s">
        <v>1769</v>
      </c>
      <c r="C47" s="3" t="s">
        <v>477</v>
      </c>
    </row>
    <row r="48" customFormat="false" ht="35.05" hidden="false" customHeight="false" outlineLevel="0" collapsed="false">
      <c r="A48" s="3" t="s">
        <v>1770</v>
      </c>
      <c r="B48" s="3" t="s">
        <v>1771</v>
      </c>
      <c r="C48" s="3" t="s">
        <v>477</v>
      </c>
    </row>
    <row r="49" customFormat="false" ht="23.85" hidden="false" customHeight="false" outlineLevel="0" collapsed="false">
      <c r="A49" s="3" t="s">
        <v>1772</v>
      </c>
      <c r="B49" s="3" t="s">
        <v>1773</v>
      </c>
      <c r="C49" s="3" t="s">
        <v>477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90"/>
  </cols>
  <sheetData>
    <row r="1" customFormat="false" ht="15" hidden="false" customHeight="false" outlineLevel="0" collapsed="false">
      <c r="A1" s="1" t="s">
        <v>1774</v>
      </c>
      <c r="B1" s="1" t="s">
        <v>1775</v>
      </c>
    </row>
    <row r="2" customFormat="false" ht="23.85" hidden="false" customHeight="false" outlineLevel="0" collapsed="false">
      <c r="A2" s="3" t="s">
        <v>1776</v>
      </c>
      <c r="B2" s="3" t="s">
        <v>1777</v>
      </c>
    </row>
    <row r="3" customFormat="false" ht="23.85" hidden="false" customHeight="false" outlineLevel="0" collapsed="false">
      <c r="A3" s="3" t="s">
        <v>1778</v>
      </c>
      <c r="B3" s="3" t="s">
        <v>1779</v>
      </c>
    </row>
    <row r="4" customFormat="false" ht="15" hidden="false" customHeight="false" outlineLevel="0" collapsed="false">
      <c r="A4" s="3" t="s">
        <v>1780</v>
      </c>
      <c r="B4" s="3" t="s">
        <v>1781</v>
      </c>
    </row>
    <row r="5" customFormat="false" ht="15" hidden="false" customHeight="false" outlineLevel="0" collapsed="false">
      <c r="A5" s="3" t="s">
        <v>1782</v>
      </c>
      <c r="B5" s="3" t="s">
        <v>1783</v>
      </c>
    </row>
    <row r="6" customFormat="false" ht="23.85" hidden="false" customHeight="false" outlineLevel="0" collapsed="false">
      <c r="A6" s="3" t="s">
        <v>1784</v>
      </c>
      <c r="B6" s="3" t="s">
        <v>1785</v>
      </c>
    </row>
    <row r="7" customFormat="false" ht="23.85" hidden="false" customHeight="false" outlineLevel="0" collapsed="false">
      <c r="A7" s="3" t="s">
        <v>1786</v>
      </c>
      <c r="B7" s="3" t="s">
        <v>1787</v>
      </c>
    </row>
    <row r="8" customFormat="false" ht="23.85" hidden="false" customHeight="false" outlineLevel="0" collapsed="false">
      <c r="A8" s="3" t="s">
        <v>1788</v>
      </c>
      <c r="B8" s="3" t="s">
        <v>1789</v>
      </c>
    </row>
    <row r="9" customFormat="false" ht="23.85" hidden="false" customHeight="false" outlineLevel="0" collapsed="false">
      <c r="A9" s="3" t="s">
        <v>1790</v>
      </c>
      <c r="B9" s="3" t="s">
        <v>1791</v>
      </c>
    </row>
    <row r="10" customFormat="false" ht="15" hidden="false" customHeight="false" outlineLevel="0" collapsed="false">
      <c r="A10" s="3" t="s">
        <v>1792</v>
      </c>
      <c r="B10" s="3" t="s">
        <v>1793</v>
      </c>
    </row>
    <row r="11" customFormat="false" ht="15" hidden="false" customHeight="false" outlineLevel="0" collapsed="false">
      <c r="A11" s="3" t="s">
        <v>1794</v>
      </c>
      <c r="B11" s="3" t="s">
        <v>1795</v>
      </c>
    </row>
    <row r="12" customFormat="false" ht="15" hidden="false" customHeight="false" outlineLevel="0" collapsed="false">
      <c r="A12" s="3" t="s">
        <v>1796</v>
      </c>
      <c r="B12" s="3" t="s">
        <v>1797</v>
      </c>
    </row>
    <row r="13" customFormat="false" ht="15" hidden="false" customHeight="false" outlineLevel="0" collapsed="false">
      <c r="A13" s="3" t="s">
        <v>1798</v>
      </c>
      <c r="B13" s="3" t="s">
        <v>1799</v>
      </c>
    </row>
    <row r="14" customFormat="false" ht="15" hidden="false" customHeight="false" outlineLevel="0" collapsed="false">
      <c r="A14" s="3" t="s">
        <v>1800</v>
      </c>
      <c r="B14" s="3" t="s">
        <v>1801</v>
      </c>
    </row>
    <row r="15" customFormat="false" ht="23.85" hidden="false" customHeight="false" outlineLevel="0" collapsed="false">
      <c r="A15" s="3" t="s">
        <v>1802</v>
      </c>
      <c r="B15" s="3" t="s">
        <v>1803</v>
      </c>
    </row>
    <row r="16" customFormat="false" ht="15" hidden="false" customHeight="false" outlineLevel="0" collapsed="false">
      <c r="A16" s="3" t="s">
        <v>1804</v>
      </c>
      <c r="B16" s="3" t="s">
        <v>1805</v>
      </c>
    </row>
    <row r="17" customFormat="false" ht="15" hidden="false" customHeight="false" outlineLevel="0" collapsed="false">
      <c r="A17" s="3" t="s">
        <v>1806</v>
      </c>
      <c r="B17" s="3" t="s">
        <v>1807</v>
      </c>
    </row>
    <row r="18" customFormat="false" ht="15" hidden="false" customHeight="false" outlineLevel="0" collapsed="false">
      <c r="A18" s="3" t="s">
        <v>1808</v>
      </c>
      <c r="B18" s="3" t="s">
        <v>1807</v>
      </c>
    </row>
    <row r="19" customFormat="false" ht="23.85" hidden="false" customHeight="false" outlineLevel="0" collapsed="false">
      <c r="A19" s="3" t="s">
        <v>1809</v>
      </c>
      <c r="B19" s="3" t="s">
        <v>1810</v>
      </c>
    </row>
    <row r="20" customFormat="false" ht="15" hidden="false" customHeight="false" outlineLevel="0" collapsed="false">
      <c r="A20" s="3" t="s">
        <v>1811</v>
      </c>
      <c r="B20" s="3" t="s">
        <v>1812</v>
      </c>
    </row>
    <row r="21" customFormat="false" ht="15" hidden="false" customHeight="false" outlineLevel="0" collapsed="false">
      <c r="A21" s="3" t="s">
        <v>1813</v>
      </c>
      <c r="B21" s="3" t="s">
        <v>1814</v>
      </c>
    </row>
    <row r="22" customFormat="false" ht="15" hidden="false" customHeight="false" outlineLevel="0" collapsed="false">
      <c r="A22" s="3" t="s">
        <v>1815</v>
      </c>
      <c r="B22" s="3" t="s">
        <v>1816</v>
      </c>
    </row>
    <row r="23" customFormat="false" ht="15" hidden="false" customHeight="false" outlineLevel="0" collapsed="false">
      <c r="A23" s="3" t="s">
        <v>1817</v>
      </c>
      <c r="B23" s="3" t="s">
        <v>1818</v>
      </c>
    </row>
    <row r="24" customFormat="false" ht="15" hidden="false" customHeight="false" outlineLevel="0" collapsed="false">
      <c r="A24" s="3" t="s">
        <v>1819</v>
      </c>
      <c r="B24" s="3" t="s">
        <v>1820</v>
      </c>
    </row>
    <row r="25" customFormat="false" ht="15" hidden="false" customHeight="false" outlineLevel="0" collapsed="false">
      <c r="A25" s="3" t="s">
        <v>1821</v>
      </c>
      <c r="B25" s="3" t="s">
        <v>1822</v>
      </c>
    </row>
    <row r="26" customFormat="false" ht="15" hidden="false" customHeight="false" outlineLevel="0" collapsed="false">
      <c r="A26" s="3" t="s">
        <v>1823</v>
      </c>
      <c r="B26" s="3" t="s">
        <v>1824</v>
      </c>
    </row>
    <row r="27" customFormat="false" ht="15" hidden="false" customHeight="false" outlineLevel="0" collapsed="false">
      <c r="A27" s="3" t="s">
        <v>1825</v>
      </c>
      <c r="B27" s="3" t="s">
        <v>1826</v>
      </c>
    </row>
    <row r="28" customFormat="false" ht="15" hidden="false" customHeight="false" outlineLevel="0" collapsed="false">
      <c r="A28" s="3" t="s">
        <v>1827</v>
      </c>
      <c r="B28" s="3" t="s">
        <v>1828</v>
      </c>
    </row>
    <row r="29" customFormat="false" ht="23.85" hidden="false" customHeight="false" outlineLevel="0" collapsed="false">
      <c r="A29" s="3" t="s">
        <v>1829</v>
      </c>
      <c r="B29" s="3" t="s">
        <v>1830</v>
      </c>
    </row>
    <row r="30" customFormat="false" ht="15" hidden="false" customHeight="false" outlineLevel="0" collapsed="false">
      <c r="A30" s="3" t="s">
        <v>1831</v>
      </c>
      <c r="B30" s="3" t="s">
        <v>1832</v>
      </c>
    </row>
    <row r="31" customFormat="false" ht="15" hidden="false" customHeight="false" outlineLevel="0" collapsed="false">
      <c r="A31" s="3" t="s">
        <v>1833</v>
      </c>
      <c r="B31" s="3" t="s">
        <v>1834</v>
      </c>
    </row>
    <row r="32" customFormat="false" ht="15" hidden="false" customHeight="false" outlineLevel="0" collapsed="false">
      <c r="A32" s="3" t="s">
        <v>1835</v>
      </c>
      <c r="B32" s="3" t="s">
        <v>1836</v>
      </c>
    </row>
    <row r="33" customFormat="false" ht="23.85" hidden="false" customHeight="false" outlineLevel="0" collapsed="false">
      <c r="A33" s="3" t="s">
        <v>1837</v>
      </c>
      <c r="B33" s="3" t="s">
        <v>1838</v>
      </c>
    </row>
    <row r="34" customFormat="false" ht="15" hidden="false" customHeight="false" outlineLevel="0" collapsed="false">
      <c r="A34" s="3" t="s">
        <v>1839</v>
      </c>
      <c r="B34" s="3" t="s">
        <v>1840</v>
      </c>
    </row>
    <row r="35" customFormat="false" ht="23.85" hidden="false" customHeight="false" outlineLevel="0" collapsed="false">
      <c r="A35" s="3" t="s">
        <v>1841</v>
      </c>
      <c r="B35" s="3" t="s">
        <v>1842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6"/>
    <col collapsed="false" customWidth="true" hidden="false" outlineLevel="0" max="4" min="3" style="0" width="18"/>
    <col collapsed="false" customWidth="true" hidden="false" outlineLevel="0" max="5" min="5" style="0" width="30"/>
    <col collapsed="false" customWidth="true" hidden="false" outlineLevel="0" max="8" min="6" style="0" width="20"/>
  </cols>
  <sheetData>
    <row r="1" customFormat="false" ht="17.35" hidden="false" customHeight="false" outlineLevel="0" collapsed="false">
      <c r="A1" s="17" t="s">
        <v>1843</v>
      </c>
    </row>
    <row r="3" customFormat="false" ht="15" hidden="false" customHeight="false" outlineLevel="0" collapsed="false">
      <c r="A3" s="6" t="s">
        <v>1844</v>
      </c>
    </row>
    <row r="4" customFormat="false" ht="15" hidden="false" customHeight="false" outlineLevel="0" collapsed="false">
      <c r="A4" s="7" t="s">
        <v>1845</v>
      </c>
      <c r="B4" s="18" t="n">
        <v>10</v>
      </c>
      <c r="C4" s="9" t="s">
        <v>1846</v>
      </c>
    </row>
    <row r="5" customFormat="false" ht="15" hidden="false" customHeight="false" outlineLevel="0" collapsed="false">
      <c r="A5" s="7" t="s">
        <v>1847</v>
      </c>
      <c r="B5" s="18" t="n">
        <v>1</v>
      </c>
    </row>
    <row r="6" customFormat="false" ht="15" hidden="false" customHeight="false" outlineLevel="0" collapsed="false">
      <c r="A6" s="7" t="s">
        <v>1848</v>
      </c>
      <c r="B6" s="18" t="n">
        <v>8</v>
      </c>
    </row>
    <row r="7" customFormat="false" ht="15" hidden="false" customHeight="false" outlineLevel="0" collapsed="false">
      <c r="A7" s="7" t="s">
        <v>1849</v>
      </c>
      <c r="B7" s="18" t="n">
        <v>70</v>
      </c>
    </row>
    <row r="8" customFormat="false" ht="15" hidden="false" customHeight="false" outlineLevel="0" collapsed="false">
      <c r="A8" s="7" t="s">
        <v>1850</v>
      </c>
      <c r="B8" s="18" t="n">
        <v>40</v>
      </c>
    </row>
    <row r="10" customFormat="false" ht="15" hidden="false" customHeight="false" outlineLevel="0" collapsed="false">
      <c r="A10" s="9" t="s">
        <v>1851</v>
      </c>
    </row>
    <row r="12" customFormat="false" ht="15" hidden="false" customHeight="false" outlineLevel="0" collapsed="false">
      <c r="A12" s="6" t="s">
        <v>1852</v>
      </c>
    </row>
    <row r="13" customFormat="false" ht="45" hidden="false" customHeight="true" outlineLevel="0" collapsed="false">
      <c r="A13" s="19" t="s">
        <v>1853</v>
      </c>
      <c r="B13" s="20" t="s">
        <v>1854</v>
      </c>
      <c r="C13" s="20"/>
      <c r="D13" s="20"/>
      <c r="E13" s="20"/>
      <c r="F13" s="20"/>
    </row>
    <row r="14" customFormat="false" ht="60" hidden="false" customHeight="true" outlineLevel="0" collapsed="false">
      <c r="A14" s="19" t="s">
        <v>1855</v>
      </c>
      <c r="B14" s="20" t="s">
        <v>1856</v>
      </c>
      <c r="C14" s="20"/>
      <c r="D14" s="20"/>
      <c r="E14" s="20"/>
      <c r="F14" s="20"/>
    </row>
    <row r="15" customFormat="false" ht="30" hidden="false" customHeight="true" outlineLevel="0" collapsed="false">
      <c r="A15" s="19" t="s">
        <v>1857</v>
      </c>
      <c r="B15" s="20" t="s">
        <v>1858</v>
      </c>
      <c r="C15" s="20"/>
      <c r="D15" s="20"/>
      <c r="E15" s="20"/>
      <c r="F15" s="20"/>
    </row>
    <row r="16" customFormat="false" ht="75" hidden="false" customHeight="true" outlineLevel="0" collapsed="false">
      <c r="A16" s="19" t="s">
        <v>1859</v>
      </c>
      <c r="B16" s="20" t="s">
        <v>1860</v>
      </c>
      <c r="C16" s="20"/>
      <c r="D16" s="20"/>
      <c r="E16" s="20"/>
      <c r="F16" s="20"/>
    </row>
    <row r="17" customFormat="false" ht="45" hidden="false" customHeight="true" outlineLevel="0" collapsed="false">
      <c r="A17" s="19" t="s">
        <v>1861</v>
      </c>
      <c r="B17" s="20" t="s">
        <v>1862</v>
      </c>
      <c r="C17" s="20"/>
      <c r="D17" s="20"/>
      <c r="E17" s="20"/>
      <c r="F17" s="20"/>
    </row>
    <row r="18" customFormat="false" ht="75" hidden="false" customHeight="true" outlineLevel="0" collapsed="false">
      <c r="A18" s="19" t="s">
        <v>1863</v>
      </c>
      <c r="B18" s="20" t="s">
        <v>1864</v>
      </c>
      <c r="C18" s="20"/>
      <c r="D18" s="20"/>
      <c r="E18" s="20"/>
      <c r="F18" s="20"/>
    </row>
    <row r="19" customFormat="false" ht="75" hidden="false" customHeight="true" outlineLevel="0" collapsed="false">
      <c r="A19" s="19" t="s">
        <v>1865</v>
      </c>
      <c r="B19" s="20" t="s">
        <v>1866</v>
      </c>
      <c r="C19" s="20"/>
      <c r="D19" s="20"/>
      <c r="E19" s="20"/>
      <c r="F19" s="20"/>
    </row>
    <row r="22" customFormat="false" ht="15" hidden="false" customHeight="false" outlineLevel="0" collapsed="false">
      <c r="A22" s="6" t="s">
        <v>1867</v>
      </c>
    </row>
    <row r="23" customFormat="false" ht="23.85" hidden="false" customHeight="false" outlineLevel="0" collapsed="false">
      <c r="A23" s="1" t="s">
        <v>1868</v>
      </c>
      <c r="B23" s="1" t="s">
        <v>426</v>
      </c>
      <c r="C23" s="1" t="s">
        <v>1869</v>
      </c>
      <c r="D23" s="1" t="s">
        <v>1870</v>
      </c>
      <c r="E23" s="1" t="s">
        <v>1871</v>
      </c>
      <c r="F23" s="1" t="s">
        <v>1872</v>
      </c>
    </row>
    <row r="24" customFormat="false" ht="570" hidden="false" customHeight="true" outlineLevel="0" collapsed="false">
      <c r="A24" s="7" t="s">
        <v>431</v>
      </c>
      <c r="B24" s="7" t="s">
        <v>1873</v>
      </c>
      <c r="C24" s="7" t="s">
        <v>1874</v>
      </c>
      <c r="D24" s="7" t="n">
        <v>54</v>
      </c>
      <c r="E24" s="7" t="n">
        <v>15</v>
      </c>
      <c r="F24" s="20" t="s">
        <v>1875</v>
      </c>
      <c r="G24" s="20"/>
      <c r="H24" s="20"/>
    </row>
    <row r="25" customFormat="false" ht="660" hidden="false" customHeight="true" outlineLevel="0" collapsed="false">
      <c r="A25" s="7" t="s">
        <v>441</v>
      </c>
      <c r="B25" s="7" t="s">
        <v>1876</v>
      </c>
      <c r="C25" s="7" t="s">
        <v>1874</v>
      </c>
      <c r="D25" s="7" t="n">
        <v>45</v>
      </c>
      <c r="E25" s="7" t="n">
        <v>22</v>
      </c>
      <c r="F25" s="20" t="s">
        <v>1877</v>
      </c>
      <c r="G25" s="20"/>
      <c r="H25" s="20"/>
    </row>
    <row r="26" customFormat="false" ht="495" hidden="false" customHeight="true" outlineLevel="0" collapsed="false">
      <c r="A26" s="7" t="s">
        <v>448</v>
      </c>
      <c r="B26" s="7" t="s">
        <v>1878</v>
      </c>
      <c r="C26" s="7" t="s">
        <v>1874</v>
      </c>
      <c r="D26" s="7" t="n">
        <v>42</v>
      </c>
      <c r="E26" s="7" t="n">
        <v>19</v>
      </c>
      <c r="F26" s="20" t="s">
        <v>1879</v>
      </c>
      <c r="G26" s="20"/>
      <c r="H26" s="20"/>
    </row>
    <row r="27" customFormat="false" ht="555" hidden="false" customHeight="true" outlineLevel="0" collapsed="false">
      <c r="A27" s="7" t="s">
        <v>452</v>
      </c>
      <c r="B27" s="7" t="s">
        <v>1880</v>
      </c>
      <c r="C27" s="7" t="s">
        <v>1874</v>
      </c>
      <c r="D27" s="7" t="n">
        <v>63</v>
      </c>
      <c r="E27" s="7" t="n">
        <v>19</v>
      </c>
      <c r="F27" s="20" t="s">
        <v>1881</v>
      </c>
      <c r="G27" s="20"/>
      <c r="H27" s="20"/>
    </row>
    <row r="28" customFormat="false" ht="555" hidden="false" customHeight="true" outlineLevel="0" collapsed="false">
      <c r="A28" s="7" t="s">
        <v>459</v>
      </c>
      <c r="B28" s="7" t="s">
        <v>1882</v>
      </c>
      <c r="C28" s="7" t="s">
        <v>1874</v>
      </c>
      <c r="D28" s="7" t="n">
        <v>43</v>
      </c>
      <c r="E28" s="7" t="n">
        <v>26</v>
      </c>
      <c r="F28" s="20" t="s">
        <v>1883</v>
      </c>
      <c r="G28" s="20"/>
      <c r="H28" s="20"/>
    </row>
    <row r="29" customFormat="false" ht="615" hidden="false" customHeight="true" outlineLevel="0" collapsed="false">
      <c r="A29" s="7" t="s">
        <v>463</v>
      </c>
      <c r="B29" s="7" t="s">
        <v>1884</v>
      </c>
      <c r="C29" s="7" t="s">
        <v>1874</v>
      </c>
      <c r="D29" s="7" t="n">
        <v>55</v>
      </c>
      <c r="E29" s="7" t="n">
        <v>20</v>
      </c>
      <c r="F29" s="20" t="s">
        <v>1885</v>
      </c>
      <c r="G29" s="20"/>
      <c r="H29" s="20"/>
    </row>
    <row r="30" customFormat="false" ht="405" hidden="false" customHeight="true" outlineLevel="0" collapsed="false">
      <c r="A30" s="7" t="s">
        <v>467</v>
      </c>
      <c r="B30" s="7" t="s">
        <v>1886</v>
      </c>
      <c r="C30" s="7" t="s">
        <v>1874</v>
      </c>
      <c r="D30" s="7" t="n">
        <v>39</v>
      </c>
      <c r="E30" s="7" t="n">
        <v>14</v>
      </c>
      <c r="F30" s="20" t="s">
        <v>1887</v>
      </c>
      <c r="G30" s="20"/>
      <c r="H30" s="20"/>
    </row>
    <row r="31" customFormat="false" ht="510" hidden="false" customHeight="true" outlineLevel="0" collapsed="false">
      <c r="A31" s="7" t="s">
        <v>477</v>
      </c>
      <c r="B31" s="7" t="s">
        <v>1888</v>
      </c>
      <c r="C31" s="7" t="s">
        <v>1874</v>
      </c>
      <c r="D31" s="7" t="n">
        <v>39</v>
      </c>
      <c r="E31" s="7" t="n">
        <v>25</v>
      </c>
      <c r="F31" s="20" t="s">
        <v>1889</v>
      </c>
      <c r="G31" s="20"/>
      <c r="H31" s="20"/>
    </row>
    <row r="32" customFormat="false" ht="390" hidden="false" customHeight="true" outlineLevel="0" collapsed="false">
      <c r="A32" s="7" t="s">
        <v>486</v>
      </c>
      <c r="B32" s="7" t="s">
        <v>1890</v>
      </c>
      <c r="C32" s="7" t="s">
        <v>1874</v>
      </c>
      <c r="D32" s="7" t="n">
        <v>17</v>
      </c>
      <c r="E32" s="7" t="n">
        <v>15</v>
      </c>
      <c r="F32" s="20" t="s">
        <v>1891</v>
      </c>
      <c r="G32" s="20"/>
      <c r="H32" s="20"/>
    </row>
    <row r="33" customFormat="false" ht="45" hidden="false" customHeight="true" outlineLevel="0" collapsed="false">
      <c r="A33" s="7" t="s">
        <v>857</v>
      </c>
      <c r="B33" s="7" t="s">
        <v>1892</v>
      </c>
      <c r="C33" s="7" t="s">
        <v>1893</v>
      </c>
      <c r="D33" s="7"/>
      <c r="E33" s="7"/>
      <c r="F33" s="20" t="s">
        <v>1894</v>
      </c>
      <c r="G33" s="20"/>
      <c r="H33" s="20"/>
    </row>
    <row r="34" customFormat="false" ht="45" hidden="false" customHeight="true" outlineLevel="0" collapsed="false">
      <c r="A34" s="7" t="s">
        <v>1640</v>
      </c>
      <c r="B34" s="7" t="s">
        <v>1895</v>
      </c>
      <c r="C34" s="7" t="s">
        <v>1893</v>
      </c>
      <c r="D34" s="7"/>
      <c r="E34" s="7"/>
      <c r="F34" s="20" t="s">
        <v>1896</v>
      </c>
      <c r="G34" s="20"/>
      <c r="H34" s="20"/>
    </row>
    <row r="36" customFormat="false" ht="15" hidden="false" customHeight="false" outlineLevel="0" collapsed="false">
      <c r="A36" s="6" t="s">
        <v>1897</v>
      </c>
    </row>
    <row r="37" customFormat="false" ht="45" hidden="false" customHeight="true" outlineLevel="0" collapsed="false">
      <c r="A37" s="19" t="s">
        <v>1898</v>
      </c>
      <c r="B37" s="20" t="s">
        <v>1899</v>
      </c>
      <c r="C37" s="20"/>
      <c r="D37" s="20"/>
      <c r="E37" s="20"/>
      <c r="F37" s="20"/>
      <c r="G37" s="20"/>
      <c r="H37" s="20"/>
    </row>
    <row r="38" customFormat="false" ht="30" hidden="false" customHeight="true" outlineLevel="0" collapsed="false">
      <c r="A38" s="19" t="s">
        <v>1900</v>
      </c>
      <c r="B38" s="20" t="s">
        <v>1901</v>
      </c>
      <c r="C38" s="20"/>
      <c r="D38" s="20"/>
      <c r="E38" s="20"/>
      <c r="F38" s="20"/>
      <c r="G38" s="20"/>
      <c r="H38" s="20"/>
    </row>
    <row r="39" customFormat="false" ht="30" hidden="false" customHeight="true" outlineLevel="0" collapsed="false">
      <c r="A39" s="19" t="s">
        <v>1902</v>
      </c>
      <c r="B39" s="20" t="s">
        <v>1903</v>
      </c>
      <c r="C39" s="20"/>
      <c r="D39" s="20"/>
      <c r="E39" s="20"/>
      <c r="F39" s="20"/>
      <c r="G39" s="20"/>
      <c r="H39" s="20"/>
    </row>
    <row r="40" customFormat="false" ht="30" hidden="false" customHeight="true" outlineLevel="0" collapsed="false">
      <c r="A40" s="19" t="s">
        <v>1904</v>
      </c>
      <c r="B40" s="20" t="s">
        <v>1905</v>
      </c>
      <c r="C40" s="20"/>
      <c r="D40" s="20"/>
      <c r="E40" s="20"/>
      <c r="F40" s="20"/>
      <c r="G40" s="20"/>
      <c r="H40" s="20"/>
    </row>
    <row r="41" customFormat="false" ht="30" hidden="false" customHeight="true" outlineLevel="0" collapsed="false">
      <c r="A41" s="19" t="s">
        <v>1906</v>
      </c>
      <c r="B41" s="20" t="s">
        <v>1907</v>
      </c>
      <c r="C41" s="20"/>
      <c r="D41" s="20"/>
      <c r="E41" s="20"/>
      <c r="F41" s="20"/>
      <c r="G41" s="20"/>
      <c r="H41" s="20"/>
    </row>
    <row r="42" customFormat="false" ht="30" hidden="false" customHeight="true" outlineLevel="0" collapsed="false">
      <c r="A42" s="19" t="s">
        <v>1908</v>
      </c>
      <c r="B42" s="20" t="s">
        <v>1909</v>
      </c>
      <c r="C42" s="20"/>
      <c r="D42" s="20"/>
      <c r="E42" s="20"/>
      <c r="F42" s="20"/>
      <c r="G42" s="20"/>
      <c r="H42" s="20"/>
    </row>
    <row r="44" customFormat="false" ht="15" hidden="false" customHeight="false" outlineLevel="0" collapsed="false">
      <c r="A44" s="6" t="s">
        <v>1910</v>
      </c>
    </row>
    <row r="45" customFormat="false" ht="15" hidden="false" customHeight="true" outlineLevel="0" collapsed="false">
      <c r="A45" s="20" t="s">
        <v>1911</v>
      </c>
      <c r="B45" s="20"/>
      <c r="C45" s="20"/>
      <c r="D45" s="20"/>
      <c r="E45" s="20"/>
      <c r="F45" s="20"/>
      <c r="G45" s="20"/>
      <c r="H45" s="20"/>
    </row>
    <row r="46" customFormat="false" ht="30" hidden="false" customHeight="true" outlineLevel="0" collapsed="false">
      <c r="A46" s="20" t="s">
        <v>1912</v>
      </c>
      <c r="B46" s="20"/>
      <c r="C46" s="20"/>
      <c r="D46" s="20"/>
      <c r="E46" s="20"/>
      <c r="F46" s="20"/>
      <c r="G46" s="20"/>
      <c r="H46" s="20"/>
    </row>
    <row r="47" customFormat="false" ht="45" hidden="false" customHeight="true" outlineLevel="0" collapsed="false">
      <c r="A47" s="20" t="s">
        <v>1913</v>
      </c>
      <c r="B47" s="20"/>
      <c r="C47" s="20"/>
      <c r="D47" s="20"/>
      <c r="E47" s="20"/>
      <c r="F47" s="20"/>
      <c r="G47" s="20"/>
      <c r="H47" s="20"/>
    </row>
    <row r="48" customFormat="false" ht="45" hidden="false" customHeight="true" outlineLevel="0" collapsed="false">
      <c r="A48" s="20" t="s">
        <v>1914</v>
      </c>
      <c r="B48" s="20"/>
      <c r="C48" s="20"/>
      <c r="D48" s="20"/>
      <c r="E48" s="20"/>
      <c r="F48" s="20"/>
      <c r="G48" s="20"/>
      <c r="H48" s="20"/>
    </row>
    <row r="49" customFormat="false" ht="45" hidden="false" customHeight="true" outlineLevel="0" collapsed="false">
      <c r="A49" s="20" t="s">
        <v>1915</v>
      </c>
      <c r="B49" s="20"/>
      <c r="C49" s="20"/>
      <c r="D49" s="20"/>
      <c r="E49" s="20"/>
      <c r="F49" s="20"/>
      <c r="G49" s="20"/>
      <c r="H49" s="20"/>
    </row>
    <row r="50" customFormat="false" ht="45" hidden="false" customHeight="true" outlineLevel="0" collapsed="false">
      <c r="A50" s="20" t="s">
        <v>1916</v>
      </c>
      <c r="B50" s="20"/>
      <c r="C50" s="20"/>
      <c r="D50" s="20"/>
      <c r="E50" s="20"/>
      <c r="F50" s="20"/>
      <c r="G50" s="20"/>
      <c r="H50" s="20"/>
    </row>
    <row r="51" customFormat="false" ht="60" hidden="false" customHeight="true" outlineLevel="0" collapsed="false">
      <c r="A51" s="20" t="s">
        <v>1917</v>
      </c>
      <c r="B51" s="20"/>
      <c r="C51" s="20"/>
      <c r="D51" s="20"/>
      <c r="E51" s="20"/>
      <c r="F51" s="20"/>
      <c r="G51" s="20"/>
      <c r="H51" s="20"/>
    </row>
    <row r="52" customFormat="false" ht="30" hidden="false" customHeight="true" outlineLevel="0" collapsed="false">
      <c r="A52" s="20" t="s">
        <v>1918</v>
      </c>
      <c r="B52" s="20"/>
      <c r="C52" s="20"/>
      <c r="D52" s="20"/>
      <c r="E52" s="20"/>
      <c r="F52" s="20"/>
      <c r="G52" s="20"/>
      <c r="H52" s="20"/>
    </row>
    <row r="53" customFormat="false" ht="15" hidden="false" customHeight="true" outlineLevel="0" collapsed="false">
      <c r="A53" s="20" t="s">
        <v>1919</v>
      </c>
      <c r="B53" s="20"/>
      <c r="C53" s="20"/>
      <c r="D53" s="20"/>
      <c r="E53" s="20"/>
      <c r="F53" s="20"/>
      <c r="G53" s="20"/>
      <c r="H53" s="20"/>
    </row>
    <row r="54" customFormat="false" ht="30" hidden="false" customHeight="true" outlineLevel="0" collapsed="false">
      <c r="A54" s="20" t="s">
        <v>1920</v>
      </c>
      <c r="B54" s="20"/>
      <c r="C54" s="20"/>
      <c r="D54" s="20"/>
      <c r="E54" s="20"/>
      <c r="F54" s="20"/>
      <c r="G54" s="20"/>
      <c r="H54" s="20"/>
    </row>
    <row r="55" customFormat="false" ht="30" hidden="false" customHeight="true" outlineLevel="0" collapsed="false">
      <c r="A55" s="20" t="s">
        <v>1921</v>
      </c>
      <c r="B55" s="20"/>
      <c r="C55" s="20"/>
      <c r="D55" s="20"/>
      <c r="E55" s="20"/>
      <c r="F55" s="20"/>
      <c r="G55" s="20"/>
      <c r="H55" s="20"/>
    </row>
    <row r="56" customFormat="false" ht="15" hidden="false" customHeight="true" outlineLevel="0" collapsed="false">
      <c r="A56" s="20" t="s">
        <v>1922</v>
      </c>
      <c r="B56" s="20"/>
      <c r="C56" s="20"/>
      <c r="D56" s="20"/>
      <c r="E56" s="20"/>
      <c r="F56" s="20"/>
      <c r="G56" s="20"/>
      <c r="H56" s="20"/>
    </row>
    <row r="57" customFormat="false" ht="30" hidden="false" customHeight="true" outlineLevel="0" collapsed="false">
      <c r="A57" s="20" t="s">
        <v>1923</v>
      </c>
      <c r="B57" s="20"/>
      <c r="C57" s="20"/>
      <c r="D57" s="20"/>
      <c r="E57" s="20"/>
      <c r="F57" s="20"/>
      <c r="G57" s="20"/>
      <c r="H57" s="20"/>
    </row>
    <row r="58" customFormat="false" ht="30" hidden="false" customHeight="true" outlineLevel="0" collapsed="false">
      <c r="A58" s="20" t="s">
        <v>1924</v>
      </c>
      <c r="B58" s="20"/>
      <c r="C58" s="20"/>
      <c r="D58" s="20"/>
      <c r="E58" s="20"/>
      <c r="F58" s="20"/>
      <c r="G58" s="20"/>
      <c r="H58" s="20"/>
    </row>
    <row r="59" customFormat="false" ht="30" hidden="false" customHeight="true" outlineLevel="0" collapsed="false">
      <c r="A59" s="20" t="s">
        <v>1925</v>
      </c>
      <c r="B59" s="20"/>
      <c r="C59" s="20"/>
      <c r="D59" s="20"/>
      <c r="E59" s="20"/>
      <c r="F59" s="20"/>
      <c r="G59" s="20"/>
      <c r="H59" s="20"/>
    </row>
    <row r="60" customFormat="false" ht="15" hidden="false" customHeight="true" outlineLevel="0" collapsed="false">
      <c r="A60" s="20" t="s">
        <v>1926</v>
      </c>
      <c r="B60" s="20"/>
      <c r="C60" s="20"/>
      <c r="D60" s="20"/>
      <c r="E60" s="20"/>
      <c r="F60" s="20"/>
      <c r="G60" s="20"/>
      <c r="H60" s="20"/>
    </row>
    <row r="61" customFormat="false" ht="30" hidden="false" customHeight="true" outlineLevel="0" collapsed="false">
      <c r="A61" s="20" t="s">
        <v>1927</v>
      </c>
      <c r="B61" s="20"/>
      <c r="C61" s="20"/>
      <c r="D61" s="20"/>
      <c r="E61" s="20"/>
      <c r="F61" s="20"/>
      <c r="G61" s="20"/>
      <c r="H61" s="20"/>
    </row>
    <row r="62" customFormat="false" ht="15" hidden="false" customHeight="true" outlineLevel="0" collapsed="false">
      <c r="A62" s="20" t="s">
        <v>1928</v>
      </c>
      <c r="B62" s="20"/>
      <c r="C62" s="20"/>
      <c r="D62" s="20"/>
      <c r="E62" s="20"/>
      <c r="F62" s="20"/>
      <c r="G62" s="20"/>
      <c r="H62" s="20"/>
    </row>
    <row r="63" customFormat="false" ht="15" hidden="false" customHeight="true" outlineLevel="0" collapsed="false">
      <c r="A63" s="20" t="s">
        <v>1929</v>
      </c>
      <c r="B63" s="20"/>
      <c r="C63" s="20"/>
      <c r="D63" s="20"/>
      <c r="E63" s="20"/>
      <c r="F63" s="20"/>
      <c r="G63" s="20"/>
      <c r="H63" s="20"/>
    </row>
    <row r="64" customFormat="false" ht="15" hidden="false" customHeight="true" outlineLevel="0" collapsed="false">
      <c r="A64" s="20" t="s">
        <v>1930</v>
      </c>
      <c r="B64" s="20"/>
      <c r="C64" s="20"/>
      <c r="D64" s="20"/>
      <c r="E64" s="20"/>
      <c r="F64" s="20"/>
      <c r="G64" s="20"/>
      <c r="H64" s="20"/>
    </row>
    <row r="65" customFormat="false" ht="45" hidden="false" customHeight="true" outlineLevel="0" collapsed="false">
      <c r="A65" s="20" t="s">
        <v>1931</v>
      </c>
      <c r="B65" s="20"/>
      <c r="C65" s="20"/>
      <c r="D65" s="20"/>
      <c r="E65" s="20"/>
      <c r="F65" s="20"/>
      <c r="G65" s="20"/>
      <c r="H65" s="20"/>
    </row>
    <row r="66" customFormat="false" ht="15" hidden="false" customHeight="true" outlineLevel="0" collapsed="false">
      <c r="A66" s="20" t="s">
        <v>1932</v>
      </c>
      <c r="B66" s="20"/>
      <c r="C66" s="20"/>
      <c r="D66" s="20"/>
      <c r="E66" s="20"/>
      <c r="F66" s="20"/>
      <c r="G66" s="20"/>
      <c r="H66" s="20"/>
    </row>
    <row r="67" customFormat="false" ht="75" hidden="false" customHeight="true" outlineLevel="0" collapsed="false">
      <c r="A67" s="20" t="s">
        <v>1933</v>
      </c>
      <c r="B67" s="20"/>
      <c r="C67" s="20"/>
      <c r="D67" s="20"/>
      <c r="E67" s="20"/>
      <c r="F67" s="20"/>
      <c r="G67" s="20"/>
      <c r="H67" s="20"/>
    </row>
    <row r="68" customFormat="false" ht="60" hidden="false" customHeight="true" outlineLevel="0" collapsed="false">
      <c r="A68" s="20" t="s">
        <v>1934</v>
      </c>
      <c r="B68" s="20"/>
      <c r="C68" s="20"/>
      <c r="D68" s="20"/>
      <c r="E68" s="20"/>
      <c r="F68" s="20"/>
      <c r="G68" s="20"/>
      <c r="H68" s="20"/>
    </row>
    <row r="69" customFormat="false" ht="60" hidden="false" customHeight="true" outlineLevel="0" collapsed="false">
      <c r="A69" s="20" t="s">
        <v>1935</v>
      </c>
      <c r="B69" s="20"/>
      <c r="C69" s="20"/>
      <c r="D69" s="20"/>
      <c r="E69" s="20"/>
      <c r="F69" s="20"/>
      <c r="G69" s="20"/>
      <c r="H69" s="20"/>
    </row>
    <row r="70" customFormat="false" ht="30" hidden="false" customHeight="true" outlineLevel="0" collapsed="false">
      <c r="A70" s="20" t="s">
        <v>1936</v>
      </c>
      <c r="B70" s="20"/>
      <c r="C70" s="20"/>
      <c r="D70" s="20"/>
      <c r="E70" s="20"/>
      <c r="F70" s="20"/>
      <c r="G70" s="20"/>
      <c r="H70" s="20"/>
    </row>
    <row r="71" customFormat="false" ht="45" hidden="false" customHeight="true" outlineLevel="0" collapsed="false">
      <c r="A71" s="20" t="s">
        <v>1937</v>
      </c>
      <c r="B71" s="20"/>
      <c r="C71" s="20"/>
      <c r="D71" s="20"/>
      <c r="E71" s="20"/>
      <c r="F71" s="20"/>
      <c r="G71" s="20"/>
      <c r="H71" s="20"/>
    </row>
    <row r="72" customFormat="false" ht="90" hidden="false" customHeight="true" outlineLevel="0" collapsed="false">
      <c r="A72" s="20" t="s">
        <v>1938</v>
      </c>
      <c r="B72" s="20"/>
      <c r="C72" s="20"/>
      <c r="D72" s="20"/>
      <c r="E72" s="20"/>
      <c r="F72" s="20"/>
      <c r="G72" s="20"/>
      <c r="H72" s="20"/>
    </row>
    <row r="73" customFormat="false" ht="150" hidden="false" customHeight="true" outlineLevel="0" collapsed="false">
      <c r="A73" s="20" t="s">
        <v>1939</v>
      </c>
      <c r="B73" s="20"/>
      <c r="C73" s="20"/>
      <c r="D73" s="20"/>
      <c r="E73" s="20"/>
      <c r="F73" s="20"/>
      <c r="G73" s="20"/>
      <c r="H73" s="20"/>
    </row>
    <row r="74" customFormat="false" ht="30" hidden="false" customHeight="true" outlineLevel="0" collapsed="false">
      <c r="A74" s="20" t="s">
        <v>1940</v>
      </c>
      <c r="B74" s="20"/>
      <c r="C74" s="20"/>
      <c r="D74" s="20"/>
      <c r="E74" s="20"/>
      <c r="F74" s="20"/>
      <c r="G74" s="20"/>
      <c r="H74" s="20"/>
    </row>
    <row r="75" customFormat="false" ht="120" hidden="false" customHeight="true" outlineLevel="0" collapsed="false">
      <c r="A75" s="20" t="s">
        <v>1941</v>
      </c>
      <c r="B75" s="20"/>
      <c r="C75" s="20"/>
      <c r="D75" s="20"/>
      <c r="E75" s="20"/>
      <c r="F75" s="20"/>
      <c r="G75" s="20"/>
      <c r="H75" s="20"/>
    </row>
    <row r="76" customFormat="false" ht="120" hidden="false" customHeight="true" outlineLevel="0" collapsed="false">
      <c r="A76" s="20" t="s">
        <v>1942</v>
      </c>
      <c r="B76" s="20"/>
      <c r="C76" s="20"/>
      <c r="D76" s="20"/>
      <c r="E76" s="20"/>
      <c r="F76" s="20"/>
      <c r="G76" s="20"/>
      <c r="H76" s="20"/>
    </row>
    <row r="77" customFormat="false" ht="105" hidden="false" customHeight="true" outlineLevel="0" collapsed="false">
      <c r="A77" s="20" t="s">
        <v>1943</v>
      </c>
      <c r="B77" s="20"/>
      <c r="C77" s="20"/>
      <c r="D77" s="20"/>
      <c r="E77" s="20"/>
      <c r="F77" s="20"/>
      <c r="G77" s="20"/>
      <c r="H77" s="20"/>
    </row>
    <row r="78" customFormat="false" ht="90" hidden="false" customHeight="true" outlineLevel="0" collapsed="false">
      <c r="A78" s="20" t="s">
        <v>1944</v>
      </c>
      <c r="B78" s="20"/>
      <c r="C78" s="20"/>
      <c r="D78" s="20"/>
      <c r="E78" s="20"/>
      <c r="F78" s="20"/>
      <c r="G78" s="20"/>
      <c r="H78" s="20"/>
    </row>
    <row r="79" customFormat="false" ht="105" hidden="false" customHeight="true" outlineLevel="0" collapsed="false">
      <c r="A79" s="20" t="s">
        <v>1945</v>
      </c>
      <c r="B79" s="20"/>
      <c r="C79" s="20"/>
      <c r="D79" s="20"/>
      <c r="E79" s="20"/>
      <c r="F79" s="20"/>
      <c r="G79" s="20"/>
      <c r="H79" s="20"/>
    </row>
    <row r="80" customFormat="false" ht="60" hidden="false" customHeight="true" outlineLevel="0" collapsed="false">
      <c r="A80" s="20" t="s">
        <v>1946</v>
      </c>
      <c r="B80" s="20"/>
      <c r="C80" s="20"/>
      <c r="D80" s="20"/>
      <c r="E80" s="20"/>
      <c r="F80" s="20"/>
      <c r="G80" s="20"/>
      <c r="H80" s="20"/>
    </row>
  </sheetData>
  <mergeCells count="60">
    <mergeCell ref="B13:F13"/>
    <mergeCell ref="B14:F14"/>
    <mergeCell ref="B15:F15"/>
    <mergeCell ref="B16:F16"/>
    <mergeCell ref="B17:F17"/>
    <mergeCell ref="B18:F18"/>
    <mergeCell ref="B19:F19"/>
    <mergeCell ref="F24:H24"/>
    <mergeCell ref="F25:H25"/>
    <mergeCell ref="F26:H26"/>
    <mergeCell ref="F27:H27"/>
    <mergeCell ref="F28:H28"/>
    <mergeCell ref="F29:H29"/>
    <mergeCell ref="F30:H30"/>
    <mergeCell ref="F31:H31"/>
    <mergeCell ref="F32:H32"/>
    <mergeCell ref="F33:H33"/>
    <mergeCell ref="F34:H34"/>
    <mergeCell ref="B37:H37"/>
    <mergeCell ref="B38:H38"/>
    <mergeCell ref="B39:H39"/>
    <mergeCell ref="B40:H40"/>
    <mergeCell ref="B41:H41"/>
    <mergeCell ref="B42:H42"/>
    <mergeCell ref="A45:H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56"/>
    <col collapsed="false" customWidth="true" hidden="false" outlineLevel="0" max="4" min="4" style="0" width="16"/>
    <col collapsed="false" customWidth="true" hidden="false" outlineLevel="0" max="5" min="5" style="0" width="70"/>
  </cols>
  <sheetData>
    <row r="1" customFormat="false" ht="35.05" hidden="false" customHeight="false" outlineLevel="0" collapsed="false">
      <c r="A1" s="1" t="s">
        <v>426</v>
      </c>
      <c r="B1" s="1" t="s">
        <v>428</v>
      </c>
      <c r="C1" s="1" t="s">
        <v>429</v>
      </c>
      <c r="D1" s="1" t="s">
        <v>1947</v>
      </c>
      <c r="E1" s="1" t="s">
        <v>14</v>
      </c>
    </row>
    <row r="2" customFormat="false" ht="23.85" hidden="false" customHeight="false" outlineLevel="0" collapsed="false">
      <c r="A2" s="15" t="s">
        <v>431</v>
      </c>
      <c r="B2" s="15" t="s">
        <v>1948</v>
      </c>
      <c r="C2" s="16" t="s">
        <v>754</v>
      </c>
      <c r="D2" s="15" t="s">
        <v>1949</v>
      </c>
      <c r="E2" s="15" t="s">
        <v>1950</v>
      </c>
    </row>
    <row r="3" customFormat="false" ht="35.05" hidden="false" customHeight="false" outlineLevel="0" collapsed="false">
      <c r="A3" s="15" t="s">
        <v>431</v>
      </c>
      <c r="B3" s="15" t="s">
        <v>1951</v>
      </c>
      <c r="C3" s="16" t="s">
        <v>752</v>
      </c>
      <c r="D3" s="15" t="s">
        <v>1949</v>
      </c>
      <c r="E3" s="15" t="s">
        <v>1952</v>
      </c>
    </row>
    <row r="4" customFormat="false" ht="35.05" hidden="false" customHeight="false" outlineLevel="0" collapsed="false">
      <c r="A4" s="15" t="s">
        <v>431</v>
      </c>
      <c r="B4" s="15" t="s">
        <v>1953</v>
      </c>
      <c r="C4" s="16" t="s">
        <v>436</v>
      </c>
      <c r="D4" s="15" t="s">
        <v>1949</v>
      </c>
      <c r="E4" s="15" t="s">
        <v>1954</v>
      </c>
    </row>
    <row r="5" customFormat="false" ht="23.85" hidden="false" customHeight="false" outlineLevel="0" collapsed="false">
      <c r="A5" s="15" t="s">
        <v>431</v>
      </c>
      <c r="B5" s="15" t="s">
        <v>652</v>
      </c>
      <c r="C5" s="16" t="s">
        <v>1342</v>
      </c>
      <c r="D5" s="15" t="s">
        <v>1949</v>
      </c>
      <c r="E5" s="15" t="s">
        <v>1955</v>
      </c>
    </row>
    <row r="6" customFormat="false" ht="23.85" hidden="false" customHeight="false" outlineLevel="0" collapsed="false">
      <c r="A6" s="15" t="s">
        <v>431</v>
      </c>
      <c r="B6" s="15" t="s">
        <v>1956</v>
      </c>
      <c r="C6" s="16" t="s">
        <v>942</v>
      </c>
      <c r="D6" s="15" t="s">
        <v>1949</v>
      </c>
      <c r="E6" s="15" t="s">
        <v>1957</v>
      </c>
    </row>
    <row r="7" customFormat="false" ht="23.85" hidden="false" customHeight="false" outlineLevel="0" collapsed="false">
      <c r="A7" s="15" t="s">
        <v>431</v>
      </c>
      <c r="B7" s="15" t="s">
        <v>1958</v>
      </c>
      <c r="C7" s="16" t="s">
        <v>1959</v>
      </c>
      <c r="D7" s="15" t="s">
        <v>1949</v>
      </c>
      <c r="E7" s="15" t="s">
        <v>1960</v>
      </c>
    </row>
    <row r="8" customFormat="false" ht="23.85" hidden="false" customHeight="false" outlineLevel="0" collapsed="false">
      <c r="A8" s="15" t="s">
        <v>431</v>
      </c>
      <c r="B8" s="15" t="s">
        <v>1961</v>
      </c>
      <c r="C8" s="16" t="s">
        <v>443</v>
      </c>
      <c r="D8" s="15" t="s">
        <v>1949</v>
      </c>
      <c r="E8" s="15" t="s">
        <v>1962</v>
      </c>
    </row>
    <row r="9" customFormat="false" ht="23.85" hidden="false" customHeight="false" outlineLevel="0" collapsed="false">
      <c r="A9" s="15" t="s">
        <v>431</v>
      </c>
      <c r="B9" s="15" t="s">
        <v>1963</v>
      </c>
      <c r="C9" s="16" t="s">
        <v>439</v>
      </c>
      <c r="D9" s="15" t="s">
        <v>1949</v>
      </c>
      <c r="E9" s="15" t="s">
        <v>1964</v>
      </c>
    </row>
    <row r="10" customFormat="false" ht="23.85" hidden="false" customHeight="false" outlineLevel="0" collapsed="false">
      <c r="A10" s="15" t="s">
        <v>431</v>
      </c>
      <c r="B10" s="15" t="s">
        <v>1965</v>
      </c>
      <c r="C10" s="16" t="s">
        <v>623</v>
      </c>
      <c r="D10" s="15" t="s">
        <v>1949</v>
      </c>
      <c r="E10" s="15" t="s">
        <v>1966</v>
      </c>
    </row>
    <row r="11" customFormat="false" ht="23.85" hidden="false" customHeight="false" outlineLevel="0" collapsed="false">
      <c r="A11" s="15" t="s">
        <v>431</v>
      </c>
      <c r="B11" s="15" t="s">
        <v>1967</v>
      </c>
      <c r="C11" s="16" t="s">
        <v>844</v>
      </c>
      <c r="D11" s="15" t="s">
        <v>1968</v>
      </c>
      <c r="E11" s="15" t="s">
        <v>1969</v>
      </c>
    </row>
    <row r="12" customFormat="false" ht="23.85" hidden="false" customHeight="false" outlineLevel="0" collapsed="false">
      <c r="A12" s="15" t="s">
        <v>431</v>
      </c>
      <c r="B12" s="15" t="s">
        <v>1970</v>
      </c>
      <c r="C12" s="16" t="s">
        <v>1971</v>
      </c>
      <c r="D12" s="15" t="s">
        <v>1968</v>
      </c>
      <c r="E12" s="15" t="s">
        <v>1972</v>
      </c>
    </row>
    <row r="13" customFormat="false" ht="23.85" hidden="false" customHeight="false" outlineLevel="0" collapsed="false">
      <c r="A13" s="15" t="s">
        <v>431</v>
      </c>
      <c r="B13" s="15" t="s">
        <v>1973</v>
      </c>
      <c r="C13" s="16" t="s">
        <v>1974</v>
      </c>
      <c r="D13" s="15" t="s">
        <v>1968</v>
      </c>
      <c r="E13" s="15" t="s">
        <v>1975</v>
      </c>
    </row>
    <row r="14" customFormat="false" ht="23.85" hidden="false" customHeight="false" outlineLevel="0" collapsed="false">
      <c r="A14" s="15" t="s">
        <v>431</v>
      </c>
      <c r="B14" s="15" t="s">
        <v>1976</v>
      </c>
      <c r="C14" s="16" t="s">
        <v>1977</v>
      </c>
      <c r="D14" s="15" t="s">
        <v>1968</v>
      </c>
      <c r="E14" s="15" t="s">
        <v>1978</v>
      </c>
    </row>
    <row r="15" customFormat="false" ht="15" hidden="false" customHeight="false" outlineLevel="0" collapsed="false">
      <c r="A15" s="15" t="s">
        <v>431</v>
      </c>
      <c r="B15" s="15" t="s">
        <v>1979</v>
      </c>
      <c r="C15" s="16" t="s">
        <v>1980</v>
      </c>
      <c r="D15" s="15" t="s">
        <v>1968</v>
      </c>
      <c r="E15" s="15" t="s">
        <v>1981</v>
      </c>
    </row>
    <row r="16" customFormat="false" ht="35.05" hidden="false" customHeight="false" outlineLevel="0" collapsed="false">
      <c r="A16" s="15" t="s">
        <v>431</v>
      </c>
      <c r="B16" s="15" t="s">
        <v>1982</v>
      </c>
      <c r="C16" s="16" t="s">
        <v>859</v>
      </c>
      <c r="D16" s="15" t="s">
        <v>1968</v>
      </c>
      <c r="E16" s="15" t="s">
        <v>1983</v>
      </c>
    </row>
    <row r="17" customFormat="false" ht="23.85" hidden="false" customHeight="false" outlineLevel="0" collapsed="false">
      <c r="A17" s="15" t="s">
        <v>441</v>
      </c>
      <c r="B17" s="15" t="s">
        <v>1984</v>
      </c>
      <c r="C17" s="16" t="s">
        <v>443</v>
      </c>
      <c r="D17" s="15" t="s">
        <v>1949</v>
      </c>
      <c r="E17" s="15" t="s">
        <v>1985</v>
      </c>
    </row>
    <row r="18" customFormat="false" ht="23.85" hidden="false" customHeight="false" outlineLevel="0" collapsed="false">
      <c r="A18" s="15" t="s">
        <v>441</v>
      </c>
      <c r="B18" s="15" t="s">
        <v>1986</v>
      </c>
      <c r="C18" s="16" t="s">
        <v>844</v>
      </c>
      <c r="D18" s="15" t="s">
        <v>1949</v>
      </c>
      <c r="E18" s="15" t="s">
        <v>1987</v>
      </c>
    </row>
    <row r="19" customFormat="false" ht="15" hidden="false" customHeight="false" outlineLevel="0" collapsed="false">
      <c r="A19" s="15" t="s">
        <v>441</v>
      </c>
      <c r="B19" s="15" t="s">
        <v>1988</v>
      </c>
      <c r="C19" s="16" t="s">
        <v>887</v>
      </c>
      <c r="D19" s="15" t="s">
        <v>1949</v>
      </c>
      <c r="E19" s="15" t="s">
        <v>1989</v>
      </c>
    </row>
    <row r="20" customFormat="false" ht="23.85" hidden="false" customHeight="false" outlineLevel="0" collapsed="false">
      <c r="A20" s="15" t="s">
        <v>441</v>
      </c>
      <c r="B20" s="15" t="s">
        <v>1990</v>
      </c>
      <c r="C20" s="16" t="s">
        <v>439</v>
      </c>
      <c r="D20" s="15" t="s">
        <v>1949</v>
      </c>
      <c r="E20" s="15" t="s">
        <v>1991</v>
      </c>
    </row>
    <row r="21" customFormat="false" ht="23.85" hidden="false" customHeight="false" outlineLevel="0" collapsed="false">
      <c r="A21" s="15" t="s">
        <v>441</v>
      </c>
      <c r="B21" s="15" t="s">
        <v>1992</v>
      </c>
      <c r="C21" s="16" t="s">
        <v>446</v>
      </c>
      <c r="D21" s="15" t="s">
        <v>1949</v>
      </c>
      <c r="E21" s="15" t="s">
        <v>1993</v>
      </c>
    </row>
    <row r="22" customFormat="false" ht="23.85" hidden="false" customHeight="false" outlineLevel="0" collapsed="false">
      <c r="A22" s="15" t="s">
        <v>441</v>
      </c>
      <c r="B22" s="15" t="s">
        <v>1994</v>
      </c>
      <c r="C22" s="16" t="s">
        <v>655</v>
      </c>
      <c r="D22" s="15" t="s">
        <v>1949</v>
      </c>
      <c r="E22" s="15" t="s">
        <v>1995</v>
      </c>
    </row>
    <row r="23" customFormat="false" ht="23.85" hidden="false" customHeight="false" outlineLevel="0" collapsed="false">
      <c r="A23" s="15" t="s">
        <v>441</v>
      </c>
      <c r="B23" s="15" t="s">
        <v>1996</v>
      </c>
      <c r="C23" s="16" t="s">
        <v>626</v>
      </c>
      <c r="D23" s="15" t="s">
        <v>1949</v>
      </c>
      <c r="E23" s="15" t="s">
        <v>1997</v>
      </c>
    </row>
    <row r="24" customFormat="false" ht="23.85" hidden="false" customHeight="false" outlineLevel="0" collapsed="false">
      <c r="A24" s="15" t="s">
        <v>441</v>
      </c>
      <c r="B24" s="15" t="s">
        <v>1998</v>
      </c>
      <c r="C24" s="16" t="s">
        <v>1999</v>
      </c>
      <c r="D24" s="15" t="s">
        <v>1968</v>
      </c>
      <c r="E24" s="15" t="s">
        <v>2000</v>
      </c>
    </row>
    <row r="25" customFormat="false" ht="15" hidden="false" customHeight="false" outlineLevel="0" collapsed="false">
      <c r="A25" s="15" t="s">
        <v>441</v>
      </c>
      <c r="B25" s="15" t="s">
        <v>2001</v>
      </c>
      <c r="C25" s="16" t="s">
        <v>825</v>
      </c>
      <c r="D25" s="15" t="s">
        <v>1968</v>
      </c>
      <c r="E25" s="15" t="s">
        <v>2002</v>
      </c>
    </row>
    <row r="26" customFormat="false" ht="23.85" hidden="false" customHeight="false" outlineLevel="0" collapsed="false">
      <c r="A26" s="15" t="s">
        <v>441</v>
      </c>
      <c r="B26" s="15" t="s">
        <v>2003</v>
      </c>
      <c r="C26" s="16" t="s">
        <v>500</v>
      </c>
      <c r="D26" s="15" t="s">
        <v>1949</v>
      </c>
      <c r="E26" s="15" t="s">
        <v>2004</v>
      </c>
    </row>
    <row r="27" customFormat="false" ht="23.85" hidden="false" customHeight="false" outlineLevel="0" collapsed="false">
      <c r="A27" s="15" t="s">
        <v>441</v>
      </c>
      <c r="B27" s="15" t="s">
        <v>2005</v>
      </c>
      <c r="C27" s="16" t="s">
        <v>1152</v>
      </c>
      <c r="D27" s="15" t="s">
        <v>1949</v>
      </c>
      <c r="E27" s="15" t="s">
        <v>2006</v>
      </c>
    </row>
    <row r="28" customFormat="false" ht="23.85" hidden="false" customHeight="false" outlineLevel="0" collapsed="false">
      <c r="A28" s="15" t="s">
        <v>441</v>
      </c>
      <c r="B28" s="15" t="s">
        <v>2007</v>
      </c>
      <c r="C28" s="16" t="s">
        <v>542</v>
      </c>
      <c r="D28" s="15" t="s">
        <v>1949</v>
      </c>
      <c r="E28" s="15" t="s">
        <v>2008</v>
      </c>
    </row>
    <row r="29" customFormat="false" ht="23.85" hidden="false" customHeight="false" outlineLevel="0" collapsed="false">
      <c r="A29" s="15" t="s">
        <v>441</v>
      </c>
      <c r="B29" s="15" t="s">
        <v>2009</v>
      </c>
      <c r="C29" s="16" t="s">
        <v>623</v>
      </c>
      <c r="D29" s="15" t="s">
        <v>1949</v>
      </c>
      <c r="E29" s="15" t="s">
        <v>2010</v>
      </c>
    </row>
    <row r="30" customFormat="false" ht="15" hidden="false" customHeight="false" outlineLevel="0" collapsed="false">
      <c r="A30" s="15" t="s">
        <v>441</v>
      </c>
      <c r="B30" s="15" t="s">
        <v>2011</v>
      </c>
      <c r="C30" s="16" t="s">
        <v>759</v>
      </c>
      <c r="D30" s="15" t="s">
        <v>1949</v>
      </c>
      <c r="E30" s="15" t="s">
        <v>2012</v>
      </c>
    </row>
    <row r="31" customFormat="false" ht="23.85" hidden="false" customHeight="false" outlineLevel="0" collapsed="false">
      <c r="A31" s="15" t="s">
        <v>441</v>
      </c>
      <c r="B31" s="15" t="s">
        <v>2013</v>
      </c>
      <c r="C31" s="16" t="s">
        <v>620</v>
      </c>
      <c r="D31" s="15" t="s">
        <v>1949</v>
      </c>
      <c r="E31" s="15" t="s">
        <v>2014</v>
      </c>
    </row>
    <row r="32" customFormat="false" ht="23.85" hidden="false" customHeight="false" outlineLevel="0" collapsed="false">
      <c r="A32" s="15" t="s">
        <v>441</v>
      </c>
      <c r="B32" s="15" t="s">
        <v>2015</v>
      </c>
      <c r="C32" s="16" t="s">
        <v>991</v>
      </c>
      <c r="D32" s="15" t="s">
        <v>1949</v>
      </c>
      <c r="E32" s="15" t="s">
        <v>2016</v>
      </c>
    </row>
    <row r="33" customFormat="false" ht="15" hidden="false" customHeight="false" outlineLevel="0" collapsed="false">
      <c r="A33" s="15" t="s">
        <v>441</v>
      </c>
      <c r="B33" s="15" t="s">
        <v>2017</v>
      </c>
      <c r="C33" s="16" t="s">
        <v>1430</v>
      </c>
      <c r="D33" s="15" t="s">
        <v>1949</v>
      </c>
      <c r="E33" s="15" t="s">
        <v>2018</v>
      </c>
    </row>
    <row r="34" customFormat="false" ht="35.05" hidden="false" customHeight="false" outlineLevel="0" collapsed="false">
      <c r="A34" s="15" t="s">
        <v>441</v>
      </c>
      <c r="B34" s="15" t="s">
        <v>2019</v>
      </c>
      <c r="C34" s="16" t="s">
        <v>2020</v>
      </c>
      <c r="D34" s="15" t="s">
        <v>1949</v>
      </c>
      <c r="E34" s="15" t="s">
        <v>2021</v>
      </c>
    </row>
    <row r="35" customFormat="false" ht="15" hidden="false" customHeight="false" outlineLevel="0" collapsed="false">
      <c r="A35" s="15" t="s">
        <v>441</v>
      </c>
      <c r="B35" s="15" t="s">
        <v>2022</v>
      </c>
      <c r="C35" s="16" t="s">
        <v>2023</v>
      </c>
      <c r="D35" s="15" t="s">
        <v>1968</v>
      </c>
      <c r="E35" s="15" t="s">
        <v>2024</v>
      </c>
    </row>
    <row r="36" customFormat="false" ht="15" hidden="false" customHeight="false" outlineLevel="0" collapsed="false">
      <c r="A36" s="15" t="s">
        <v>441</v>
      </c>
      <c r="B36" s="15" t="s">
        <v>2025</v>
      </c>
      <c r="C36" s="16" t="s">
        <v>653</v>
      </c>
      <c r="D36" s="15" t="s">
        <v>1949</v>
      </c>
      <c r="E36" s="15" t="s">
        <v>2026</v>
      </c>
    </row>
    <row r="37" customFormat="false" ht="23.85" hidden="false" customHeight="false" outlineLevel="0" collapsed="false">
      <c r="A37" s="15" t="s">
        <v>441</v>
      </c>
      <c r="B37" s="15" t="s">
        <v>2027</v>
      </c>
      <c r="C37" s="16" t="s">
        <v>724</v>
      </c>
      <c r="D37" s="15" t="s">
        <v>1949</v>
      </c>
      <c r="E37" s="15" t="s">
        <v>2028</v>
      </c>
    </row>
    <row r="38" customFormat="false" ht="23.85" hidden="false" customHeight="false" outlineLevel="0" collapsed="false">
      <c r="A38" s="15" t="s">
        <v>441</v>
      </c>
      <c r="B38" s="15" t="s">
        <v>2029</v>
      </c>
      <c r="C38" s="16" t="s">
        <v>1493</v>
      </c>
      <c r="D38" s="15" t="s">
        <v>1949</v>
      </c>
      <c r="E38" s="15" t="s">
        <v>2030</v>
      </c>
    </row>
    <row r="39" customFormat="false" ht="23.85" hidden="false" customHeight="false" outlineLevel="0" collapsed="false">
      <c r="A39" s="15" t="s">
        <v>448</v>
      </c>
      <c r="B39" s="15" t="s">
        <v>2031</v>
      </c>
      <c r="C39" s="16" t="s">
        <v>546</v>
      </c>
      <c r="D39" s="15" t="s">
        <v>1949</v>
      </c>
      <c r="E39" s="15" t="s">
        <v>2032</v>
      </c>
    </row>
    <row r="40" customFormat="false" ht="23.85" hidden="false" customHeight="false" outlineLevel="0" collapsed="false">
      <c r="A40" s="15" t="s">
        <v>448</v>
      </c>
      <c r="B40" s="15" t="s">
        <v>2033</v>
      </c>
      <c r="C40" s="16" t="s">
        <v>699</v>
      </c>
      <c r="D40" s="15" t="s">
        <v>1949</v>
      </c>
      <c r="E40" s="15" t="s">
        <v>2034</v>
      </c>
    </row>
    <row r="41" customFormat="false" ht="23.85" hidden="false" customHeight="false" outlineLevel="0" collapsed="false">
      <c r="A41" s="15" t="s">
        <v>448</v>
      </c>
      <c r="B41" s="15" t="s">
        <v>576</v>
      </c>
      <c r="C41" s="16" t="s">
        <v>577</v>
      </c>
      <c r="D41" s="15" t="s">
        <v>1949</v>
      </c>
      <c r="E41" s="15" t="s">
        <v>2035</v>
      </c>
    </row>
    <row r="42" customFormat="false" ht="23.85" hidden="false" customHeight="false" outlineLevel="0" collapsed="false">
      <c r="A42" s="15" t="s">
        <v>448</v>
      </c>
      <c r="B42" s="15" t="s">
        <v>2036</v>
      </c>
      <c r="C42" s="16" t="s">
        <v>2037</v>
      </c>
      <c r="D42" s="15" t="s">
        <v>1968</v>
      </c>
      <c r="E42" s="15" t="s">
        <v>2038</v>
      </c>
    </row>
    <row r="43" customFormat="false" ht="35.05" hidden="false" customHeight="false" outlineLevel="0" collapsed="false">
      <c r="A43" s="15" t="s">
        <v>448</v>
      </c>
      <c r="B43" s="15" t="s">
        <v>2039</v>
      </c>
      <c r="C43" s="16" t="s">
        <v>993</v>
      </c>
      <c r="D43" s="15" t="s">
        <v>1949</v>
      </c>
      <c r="E43" s="15" t="s">
        <v>2040</v>
      </c>
    </row>
    <row r="44" customFormat="false" ht="23.85" hidden="false" customHeight="false" outlineLevel="0" collapsed="false">
      <c r="A44" s="15" t="s">
        <v>448</v>
      </c>
      <c r="B44" s="15" t="s">
        <v>2041</v>
      </c>
      <c r="C44" s="16" t="s">
        <v>1302</v>
      </c>
      <c r="D44" s="15" t="s">
        <v>1949</v>
      </c>
      <c r="E44" s="15" t="s">
        <v>2042</v>
      </c>
    </row>
    <row r="45" customFormat="false" ht="35.05" hidden="false" customHeight="false" outlineLevel="0" collapsed="false">
      <c r="A45" s="15" t="s">
        <v>448</v>
      </c>
      <c r="B45" s="15" t="s">
        <v>2043</v>
      </c>
      <c r="C45" s="16" t="s">
        <v>2044</v>
      </c>
      <c r="D45" s="15" t="s">
        <v>1968</v>
      </c>
      <c r="E45" s="15" t="s">
        <v>2045</v>
      </c>
    </row>
    <row r="46" customFormat="false" ht="23.85" hidden="false" customHeight="false" outlineLevel="0" collapsed="false">
      <c r="A46" s="15" t="s">
        <v>448</v>
      </c>
      <c r="B46" s="15" t="s">
        <v>2046</v>
      </c>
      <c r="C46" s="16" t="s">
        <v>2047</v>
      </c>
      <c r="D46" s="15" t="s">
        <v>1968</v>
      </c>
      <c r="E46" s="15" t="s">
        <v>2048</v>
      </c>
    </row>
    <row r="47" customFormat="false" ht="15" hidden="false" customHeight="false" outlineLevel="0" collapsed="false">
      <c r="A47" s="15" t="s">
        <v>448</v>
      </c>
      <c r="B47" s="15" t="s">
        <v>2049</v>
      </c>
      <c r="C47" s="15"/>
      <c r="D47" s="15" t="s">
        <v>1968</v>
      </c>
      <c r="E47" s="15" t="s">
        <v>2050</v>
      </c>
    </row>
    <row r="48" customFormat="false" ht="23.85" hidden="false" customHeight="false" outlineLevel="0" collapsed="false">
      <c r="A48" s="15" t="s">
        <v>448</v>
      </c>
      <c r="B48" s="15" t="s">
        <v>1643</v>
      </c>
      <c r="C48" s="16" t="s">
        <v>1644</v>
      </c>
      <c r="D48" s="15" t="s">
        <v>1968</v>
      </c>
      <c r="E48" s="15" t="s">
        <v>2051</v>
      </c>
    </row>
    <row r="49" customFormat="false" ht="23.85" hidden="false" customHeight="false" outlineLevel="0" collapsed="false">
      <c r="A49" s="15" t="s">
        <v>448</v>
      </c>
      <c r="B49" s="15" t="s">
        <v>2052</v>
      </c>
      <c r="C49" s="16" t="s">
        <v>503</v>
      </c>
      <c r="D49" s="15" t="s">
        <v>1949</v>
      </c>
      <c r="E49" s="15" t="s">
        <v>2053</v>
      </c>
    </row>
    <row r="50" customFormat="false" ht="23.85" hidden="false" customHeight="false" outlineLevel="0" collapsed="false">
      <c r="A50" s="15" t="s">
        <v>448</v>
      </c>
      <c r="B50" s="15" t="s">
        <v>2054</v>
      </c>
      <c r="C50" s="16" t="s">
        <v>2055</v>
      </c>
      <c r="D50" s="15" t="s">
        <v>1968</v>
      </c>
      <c r="E50" s="15" t="s">
        <v>2056</v>
      </c>
    </row>
    <row r="51" customFormat="false" ht="23.85" hidden="false" customHeight="false" outlineLevel="0" collapsed="false">
      <c r="A51" s="15" t="s">
        <v>448</v>
      </c>
      <c r="B51" s="15" t="s">
        <v>2057</v>
      </c>
      <c r="C51" s="16" t="s">
        <v>1326</v>
      </c>
      <c r="D51" s="15" t="s">
        <v>1949</v>
      </c>
      <c r="E51" s="15" t="s">
        <v>2058</v>
      </c>
    </row>
    <row r="52" customFormat="false" ht="23.85" hidden="false" customHeight="false" outlineLevel="0" collapsed="false">
      <c r="A52" s="15" t="s">
        <v>448</v>
      </c>
      <c r="B52" s="15" t="s">
        <v>2059</v>
      </c>
      <c r="C52" s="16" t="s">
        <v>2060</v>
      </c>
      <c r="D52" s="15" t="s">
        <v>1968</v>
      </c>
      <c r="E52" s="15" t="s">
        <v>2061</v>
      </c>
    </row>
    <row r="53" customFormat="false" ht="23.85" hidden="false" customHeight="false" outlineLevel="0" collapsed="false">
      <c r="A53" s="15" t="s">
        <v>448</v>
      </c>
      <c r="B53" s="15" t="s">
        <v>2062</v>
      </c>
      <c r="C53" s="16" t="s">
        <v>965</v>
      </c>
      <c r="D53" s="15" t="s">
        <v>1949</v>
      </c>
      <c r="E53" s="15" t="s">
        <v>2063</v>
      </c>
    </row>
    <row r="54" customFormat="false" ht="23.85" hidden="false" customHeight="false" outlineLevel="0" collapsed="false">
      <c r="A54" s="15" t="s">
        <v>448</v>
      </c>
      <c r="B54" s="15" t="s">
        <v>2064</v>
      </c>
      <c r="C54" s="16" t="s">
        <v>1299</v>
      </c>
      <c r="D54" s="15" t="s">
        <v>1949</v>
      </c>
      <c r="E54" s="15" t="s">
        <v>2065</v>
      </c>
    </row>
    <row r="55" customFormat="false" ht="23.85" hidden="false" customHeight="false" outlineLevel="0" collapsed="false">
      <c r="A55" s="15" t="s">
        <v>448</v>
      </c>
      <c r="B55" s="15" t="s">
        <v>2066</v>
      </c>
      <c r="C55" s="16" t="s">
        <v>450</v>
      </c>
      <c r="D55" s="15" t="s">
        <v>1949</v>
      </c>
      <c r="E55" s="15" t="s">
        <v>2067</v>
      </c>
    </row>
    <row r="56" customFormat="false" ht="23.85" hidden="false" customHeight="false" outlineLevel="0" collapsed="false">
      <c r="A56" s="15" t="s">
        <v>448</v>
      </c>
      <c r="B56" s="15" t="s">
        <v>2068</v>
      </c>
      <c r="C56" s="16" t="s">
        <v>2069</v>
      </c>
      <c r="D56" s="15" t="s">
        <v>1968</v>
      </c>
      <c r="E56" s="15" t="s">
        <v>2070</v>
      </c>
    </row>
    <row r="57" customFormat="false" ht="23.85" hidden="false" customHeight="false" outlineLevel="0" collapsed="false">
      <c r="A57" s="15" t="s">
        <v>448</v>
      </c>
      <c r="B57" s="15" t="s">
        <v>2071</v>
      </c>
      <c r="C57" s="15"/>
      <c r="D57" s="15" t="s">
        <v>1968</v>
      </c>
      <c r="E57" s="15" t="s">
        <v>2072</v>
      </c>
    </row>
    <row r="58" customFormat="false" ht="35.05" hidden="false" customHeight="false" outlineLevel="0" collapsed="false">
      <c r="A58" s="15" t="s">
        <v>452</v>
      </c>
      <c r="B58" s="15" t="s">
        <v>2073</v>
      </c>
      <c r="C58" s="16" t="s">
        <v>583</v>
      </c>
      <c r="D58" s="15" t="s">
        <v>1949</v>
      </c>
      <c r="E58" s="15" t="s">
        <v>2074</v>
      </c>
    </row>
    <row r="59" customFormat="false" ht="23.85" hidden="false" customHeight="false" outlineLevel="0" collapsed="false">
      <c r="A59" s="15" t="s">
        <v>452</v>
      </c>
      <c r="B59" s="15" t="s">
        <v>2075</v>
      </c>
      <c r="C59" s="16" t="s">
        <v>703</v>
      </c>
      <c r="D59" s="15" t="s">
        <v>1949</v>
      </c>
      <c r="E59" s="15" t="s">
        <v>2076</v>
      </c>
    </row>
    <row r="60" customFormat="false" ht="23.85" hidden="false" customHeight="false" outlineLevel="0" collapsed="false">
      <c r="A60" s="15" t="s">
        <v>452</v>
      </c>
      <c r="B60" s="15" t="s">
        <v>453</v>
      </c>
      <c r="C60" s="16" t="s">
        <v>454</v>
      </c>
      <c r="D60" s="15" t="s">
        <v>1949</v>
      </c>
      <c r="E60" s="15" t="s">
        <v>2077</v>
      </c>
    </row>
    <row r="61" customFormat="false" ht="23.85" hidden="false" customHeight="false" outlineLevel="0" collapsed="false">
      <c r="A61" s="15" t="s">
        <v>452</v>
      </c>
      <c r="B61" s="15" t="s">
        <v>967</v>
      </c>
      <c r="C61" s="16" t="s">
        <v>968</v>
      </c>
      <c r="D61" s="15" t="s">
        <v>1949</v>
      </c>
      <c r="E61" s="15" t="s">
        <v>2078</v>
      </c>
    </row>
    <row r="62" customFormat="false" ht="23.85" hidden="false" customHeight="false" outlineLevel="0" collapsed="false">
      <c r="A62" s="15" t="s">
        <v>452</v>
      </c>
      <c r="B62" s="15" t="s">
        <v>731</v>
      </c>
      <c r="C62" s="16" t="s">
        <v>732</v>
      </c>
      <c r="D62" s="15" t="s">
        <v>1949</v>
      </c>
      <c r="E62" s="15" t="s">
        <v>2079</v>
      </c>
    </row>
    <row r="63" customFormat="false" ht="23.85" hidden="false" customHeight="false" outlineLevel="0" collapsed="false">
      <c r="A63" s="15" t="s">
        <v>452</v>
      </c>
      <c r="B63" s="15" t="s">
        <v>1422</v>
      </c>
      <c r="C63" s="16" t="s">
        <v>1423</v>
      </c>
      <c r="D63" s="15" t="s">
        <v>1949</v>
      </c>
      <c r="E63" s="15" t="s">
        <v>2080</v>
      </c>
    </row>
    <row r="64" customFormat="false" ht="23.85" hidden="false" customHeight="false" outlineLevel="0" collapsed="false">
      <c r="A64" s="15" t="s">
        <v>452</v>
      </c>
      <c r="B64" s="15" t="s">
        <v>892</v>
      </c>
      <c r="C64" s="16" t="s">
        <v>893</v>
      </c>
      <c r="D64" s="15" t="s">
        <v>1949</v>
      </c>
      <c r="E64" s="15" t="s">
        <v>2081</v>
      </c>
    </row>
    <row r="65" customFormat="false" ht="23.85" hidden="false" customHeight="false" outlineLevel="0" collapsed="false">
      <c r="A65" s="15" t="s">
        <v>452</v>
      </c>
      <c r="B65" s="15" t="s">
        <v>548</v>
      </c>
      <c r="C65" s="16" t="s">
        <v>549</v>
      </c>
      <c r="D65" s="15" t="s">
        <v>1949</v>
      </c>
      <c r="E65" s="15" t="s">
        <v>2082</v>
      </c>
    </row>
    <row r="66" customFormat="false" ht="35.05" hidden="false" customHeight="false" outlineLevel="0" collapsed="false">
      <c r="A66" s="15" t="s">
        <v>452</v>
      </c>
      <c r="B66" s="15" t="s">
        <v>2083</v>
      </c>
      <c r="C66" s="16" t="s">
        <v>1182</v>
      </c>
      <c r="D66" s="15" t="s">
        <v>1949</v>
      </c>
      <c r="E66" s="15" t="s">
        <v>2084</v>
      </c>
    </row>
    <row r="67" customFormat="false" ht="23.85" hidden="false" customHeight="false" outlineLevel="0" collapsed="false">
      <c r="A67" s="15" t="s">
        <v>452</v>
      </c>
      <c r="B67" s="15" t="s">
        <v>2085</v>
      </c>
      <c r="C67" s="16" t="s">
        <v>1261</v>
      </c>
      <c r="D67" s="15" t="s">
        <v>1949</v>
      </c>
      <c r="E67" s="15" t="s">
        <v>2086</v>
      </c>
    </row>
    <row r="68" customFormat="false" ht="35.05" hidden="false" customHeight="false" outlineLevel="0" collapsed="false">
      <c r="A68" s="15" t="s">
        <v>452</v>
      </c>
      <c r="B68" s="15" t="s">
        <v>2087</v>
      </c>
      <c r="C68" s="16" t="s">
        <v>2088</v>
      </c>
      <c r="D68" s="15" t="s">
        <v>1949</v>
      </c>
      <c r="E68" s="15" t="s">
        <v>2089</v>
      </c>
    </row>
    <row r="69" customFormat="false" ht="35.05" hidden="false" customHeight="false" outlineLevel="0" collapsed="false">
      <c r="A69" s="15" t="s">
        <v>452</v>
      </c>
      <c r="B69" s="15" t="s">
        <v>2090</v>
      </c>
      <c r="C69" s="16" t="s">
        <v>457</v>
      </c>
      <c r="D69" s="15" t="s">
        <v>1949</v>
      </c>
      <c r="E69" s="15" t="s">
        <v>2091</v>
      </c>
    </row>
    <row r="70" customFormat="false" ht="35.05" hidden="false" customHeight="false" outlineLevel="0" collapsed="false">
      <c r="A70" s="15" t="s">
        <v>452</v>
      </c>
      <c r="B70" s="15" t="s">
        <v>2092</v>
      </c>
      <c r="C70" s="16" t="s">
        <v>1516</v>
      </c>
      <c r="D70" s="15" t="s">
        <v>1968</v>
      </c>
      <c r="E70" s="15" t="s">
        <v>2093</v>
      </c>
    </row>
    <row r="71" customFormat="false" ht="23.85" hidden="false" customHeight="false" outlineLevel="0" collapsed="false">
      <c r="A71" s="15" t="s">
        <v>452</v>
      </c>
      <c r="B71" s="15" t="s">
        <v>2094</v>
      </c>
      <c r="C71" s="16" t="s">
        <v>689</v>
      </c>
      <c r="D71" s="15" t="s">
        <v>1968</v>
      </c>
      <c r="E71" s="15" t="s">
        <v>2095</v>
      </c>
    </row>
    <row r="72" customFormat="false" ht="23.85" hidden="false" customHeight="false" outlineLevel="0" collapsed="false">
      <c r="A72" s="15" t="s">
        <v>452</v>
      </c>
      <c r="B72" s="15" t="s">
        <v>2096</v>
      </c>
      <c r="C72" s="16" t="s">
        <v>2097</v>
      </c>
      <c r="D72" s="15" t="s">
        <v>1968</v>
      </c>
      <c r="E72" s="15" t="s">
        <v>2098</v>
      </c>
    </row>
    <row r="73" customFormat="false" ht="23.85" hidden="false" customHeight="false" outlineLevel="0" collapsed="false">
      <c r="A73" s="15" t="s">
        <v>452</v>
      </c>
      <c r="B73" s="15" t="s">
        <v>2099</v>
      </c>
      <c r="C73" s="16" t="s">
        <v>849</v>
      </c>
      <c r="D73" s="15" t="s">
        <v>1949</v>
      </c>
      <c r="E73" s="15" t="s">
        <v>2100</v>
      </c>
    </row>
    <row r="74" customFormat="false" ht="23.85" hidden="false" customHeight="false" outlineLevel="0" collapsed="false">
      <c r="A74" s="15" t="s">
        <v>452</v>
      </c>
      <c r="B74" s="15" t="s">
        <v>2101</v>
      </c>
      <c r="C74" s="16" t="s">
        <v>1117</v>
      </c>
      <c r="D74" s="15" t="s">
        <v>1949</v>
      </c>
      <c r="E74" s="15" t="s">
        <v>2102</v>
      </c>
    </row>
    <row r="75" customFormat="false" ht="35.05" hidden="false" customHeight="false" outlineLevel="0" collapsed="false">
      <c r="A75" s="15" t="s">
        <v>452</v>
      </c>
      <c r="B75" s="15" t="s">
        <v>2103</v>
      </c>
      <c r="C75" s="16" t="s">
        <v>2104</v>
      </c>
      <c r="D75" s="15" t="s">
        <v>1968</v>
      </c>
      <c r="E75" s="15" t="s">
        <v>2105</v>
      </c>
    </row>
    <row r="76" customFormat="false" ht="35.05" hidden="false" customHeight="false" outlineLevel="0" collapsed="false">
      <c r="A76" s="15" t="s">
        <v>452</v>
      </c>
      <c r="B76" s="15" t="s">
        <v>2106</v>
      </c>
      <c r="C76" s="16" t="s">
        <v>2107</v>
      </c>
      <c r="D76" s="15" t="s">
        <v>1968</v>
      </c>
      <c r="E76" s="15" t="s">
        <v>2108</v>
      </c>
    </row>
    <row r="77" customFormat="false" ht="35.05" hidden="false" customHeight="false" outlineLevel="0" collapsed="false">
      <c r="A77" s="15" t="s">
        <v>459</v>
      </c>
      <c r="B77" s="15" t="s">
        <v>2109</v>
      </c>
      <c r="C77" s="16" t="s">
        <v>590</v>
      </c>
      <c r="D77" s="15" t="s">
        <v>1949</v>
      </c>
      <c r="E77" s="15" t="s">
        <v>2110</v>
      </c>
    </row>
    <row r="78" customFormat="false" ht="23.85" hidden="false" customHeight="false" outlineLevel="0" collapsed="false">
      <c r="A78" s="15" t="s">
        <v>459</v>
      </c>
      <c r="B78" s="15" t="s">
        <v>2111</v>
      </c>
      <c r="C78" s="16" t="s">
        <v>2112</v>
      </c>
      <c r="D78" s="15" t="s">
        <v>1949</v>
      </c>
      <c r="E78" s="15" t="s">
        <v>2113</v>
      </c>
    </row>
    <row r="79" customFormat="false" ht="23.85" hidden="false" customHeight="false" outlineLevel="0" collapsed="false">
      <c r="A79" s="15" t="s">
        <v>459</v>
      </c>
      <c r="B79" s="15" t="s">
        <v>2114</v>
      </c>
      <c r="C79" s="16" t="s">
        <v>552</v>
      </c>
      <c r="D79" s="15" t="s">
        <v>1949</v>
      </c>
      <c r="E79" s="15" t="s">
        <v>2115</v>
      </c>
    </row>
    <row r="80" customFormat="false" ht="23.85" hidden="false" customHeight="false" outlineLevel="0" collapsed="false">
      <c r="A80" s="15" t="s">
        <v>459</v>
      </c>
      <c r="B80" s="15" t="s">
        <v>2116</v>
      </c>
      <c r="C80" s="16" t="s">
        <v>707</v>
      </c>
      <c r="D80" s="15" t="s">
        <v>1949</v>
      </c>
      <c r="E80" s="15" t="s">
        <v>2117</v>
      </c>
    </row>
    <row r="81" customFormat="false" ht="23.85" hidden="false" customHeight="false" outlineLevel="0" collapsed="false">
      <c r="A81" s="15" t="s">
        <v>459</v>
      </c>
      <c r="B81" s="15" t="s">
        <v>2118</v>
      </c>
      <c r="C81" s="16" t="s">
        <v>593</v>
      </c>
      <c r="D81" s="15" t="s">
        <v>1949</v>
      </c>
      <c r="E81" s="15" t="s">
        <v>2119</v>
      </c>
    </row>
    <row r="82" customFormat="false" ht="15" hidden="false" customHeight="false" outlineLevel="0" collapsed="false">
      <c r="A82" s="15" t="s">
        <v>459</v>
      </c>
      <c r="B82" s="15" t="s">
        <v>2120</v>
      </c>
      <c r="C82" s="16" t="s">
        <v>1139</v>
      </c>
      <c r="D82" s="15" t="s">
        <v>1949</v>
      </c>
      <c r="E82" s="15" t="s">
        <v>2121</v>
      </c>
    </row>
    <row r="83" customFormat="false" ht="23.85" hidden="false" customHeight="false" outlineLevel="0" collapsed="false">
      <c r="A83" s="15" t="s">
        <v>459</v>
      </c>
      <c r="B83" s="15" t="s">
        <v>2122</v>
      </c>
      <c r="C83" s="16" t="s">
        <v>1006</v>
      </c>
      <c r="D83" s="15" t="s">
        <v>1949</v>
      </c>
      <c r="E83" s="15" t="s">
        <v>2123</v>
      </c>
    </row>
    <row r="84" customFormat="false" ht="23.85" hidden="false" customHeight="false" outlineLevel="0" collapsed="false">
      <c r="A84" s="15" t="s">
        <v>459</v>
      </c>
      <c r="B84" s="15" t="s">
        <v>2124</v>
      </c>
      <c r="C84" s="16" t="s">
        <v>1346</v>
      </c>
      <c r="D84" s="15" t="s">
        <v>1949</v>
      </c>
      <c r="E84" s="15" t="s">
        <v>2125</v>
      </c>
    </row>
    <row r="85" customFormat="false" ht="23.85" hidden="false" customHeight="false" outlineLevel="0" collapsed="false">
      <c r="A85" s="15" t="s">
        <v>459</v>
      </c>
      <c r="B85" s="15" t="s">
        <v>2126</v>
      </c>
      <c r="C85" s="16" t="s">
        <v>1044</v>
      </c>
      <c r="D85" s="15" t="s">
        <v>1949</v>
      </c>
      <c r="E85" s="15" t="s">
        <v>2127</v>
      </c>
    </row>
    <row r="86" customFormat="false" ht="23.85" hidden="false" customHeight="false" outlineLevel="0" collapsed="false">
      <c r="A86" s="15" t="s">
        <v>459</v>
      </c>
      <c r="B86" s="15" t="s">
        <v>2128</v>
      </c>
      <c r="C86" s="16" t="s">
        <v>738</v>
      </c>
      <c r="D86" s="15" t="s">
        <v>1949</v>
      </c>
      <c r="E86" s="15" t="s">
        <v>2129</v>
      </c>
    </row>
    <row r="87" customFormat="false" ht="15" hidden="false" customHeight="false" outlineLevel="0" collapsed="false">
      <c r="A87" s="15" t="s">
        <v>459</v>
      </c>
      <c r="B87" s="15" t="s">
        <v>2130</v>
      </c>
      <c r="C87" s="16" t="s">
        <v>765</v>
      </c>
      <c r="D87" s="15" t="s">
        <v>1949</v>
      </c>
      <c r="E87" s="15" t="s">
        <v>2131</v>
      </c>
    </row>
    <row r="88" customFormat="false" ht="23.85" hidden="false" customHeight="false" outlineLevel="0" collapsed="false">
      <c r="A88" s="15" t="s">
        <v>459</v>
      </c>
      <c r="B88" s="15" t="s">
        <v>2132</v>
      </c>
      <c r="C88" s="16" t="s">
        <v>555</v>
      </c>
      <c r="D88" s="15" t="s">
        <v>1949</v>
      </c>
      <c r="E88" s="15" t="s">
        <v>2133</v>
      </c>
    </row>
    <row r="89" customFormat="false" ht="23.85" hidden="false" customHeight="false" outlineLevel="0" collapsed="false">
      <c r="A89" s="15" t="s">
        <v>459</v>
      </c>
      <c r="B89" s="15" t="s">
        <v>1065</v>
      </c>
      <c r="C89" s="16" t="s">
        <v>1066</v>
      </c>
      <c r="D89" s="15" t="s">
        <v>1949</v>
      </c>
      <c r="E89" s="15" t="s">
        <v>2134</v>
      </c>
    </row>
    <row r="90" customFormat="false" ht="23.85" hidden="false" customHeight="false" outlineLevel="0" collapsed="false">
      <c r="A90" s="15" t="s">
        <v>459</v>
      </c>
      <c r="B90" s="15" t="s">
        <v>2135</v>
      </c>
      <c r="C90" s="16" t="s">
        <v>735</v>
      </c>
      <c r="D90" s="15" t="s">
        <v>1949</v>
      </c>
      <c r="E90" s="15" t="s">
        <v>2136</v>
      </c>
    </row>
    <row r="91" customFormat="false" ht="15" hidden="false" customHeight="false" outlineLevel="0" collapsed="false">
      <c r="A91" s="15" t="s">
        <v>459</v>
      </c>
      <c r="B91" s="15" t="s">
        <v>1062</v>
      </c>
      <c r="C91" s="16" t="s">
        <v>1063</v>
      </c>
      <c r="D91" s="15" t="s">
        <v>1949</v>
      </c>
      <c r="E91" s="15" t="s">
        <v>2137</v>
      </c>
    </row>
    <row r="92" customFormat="false" ht="23.85" hidden="false" customHeight="false" outlineLevel="0" collapsed="false">
      <c r="A92" s="15" t="s">
        <v>459</v>
      </c>
      <c r="B92" s="15" t="s">
        <v>2138</v>
      </c>
      <c r="C92" s="16" t="s">
        <v>2139</v>
      </c>
      <c r="D92" s="15" t="s">
        <v>1949</v>
      </c>
      <c r="E92" s="15" t="s">
        <v>2140</v>
      </c>
    </row>
    <row r="93" customFormat="false" ht="23.85" hidden="false" customHeight="false" outlineLevel="0" collapsed="false">
      <c r="A93" s="15" t="s">
        <v>459</v>
      </c>
      <c r="B93" s="15" t="s">
        <v>2141</v>
      </c>
      <c r="C93" s="16" t="s">
        <v>1333</v>
      </c>
      <c r="D93" s="15" t="s">
        <v>1949</v>
      </c>
      <c r="E93" s="15" t="s">
        <v>2142</v>
      </c>
    </row>
    <row r="94" customFormat="false" ht="35.05" hidden="false" customHeight="false" outlineLevel="0" collapsed="false">
      <c r="A94" s="15" t="s">
        <v>459</v>
      </c>
      <c r="B94" s="15" t="s">
        <v>2143</v>
      </c>
      <c r="C94" s="16" t="s">
        <v>2144</v>
      </c>
      <c r="D94" s="15" t="s">
        <v>1949</v>
      </c>
      <c r="E94" s="15" t="s">
        <v>2145</v>
      </c>
    </row>
    <row r="95" customFormat="false" ht="15" hidden="false" customHeight="false" outlineLevel="0" collapsed="false">
      <c r="A95" s="15" t="s">
        <v>459</v>
      </c>
      <c r="B95" s="15" t="s">
        <v>2146</v>
      </c>
      <c r="C95" s="16" t="s">
        <v>2147</v>
      </c>
      <c r="D95" s="15" t="s">
        <v>1968</v>
      </c>
      <c r="E95" s="15" t="s">
        <v>2148</v>
      </c>
    </row>
    <row r="96" customFormat="false" ht="23.85" hidden="false" customHeight="false" outlineLevel="0" collapsed="false">
      <c r="A96" s="15" t="s">
        <v>459</v>
      </c>
      <c r="B96" s="15" t="s">
        <v>2149</v>
      </c>
      <c r="C96" s="16" t="s">
        <v>1264</v>
      </c>
      <c r="D96" s="15" t="s">
        <v>1968</v>
      </c>
      <c r="E96" s="15" t="s">
        <v>2150</v>
      </c>
    </row>
    <row r="97" customFormat="false" ht="15" hidden="false" customHeight="false" outlineLevel="0" collapsed="false">
      <c r="A97" s="15" t="s">
        <v>459</v>
      </c>
      <c r="B97" s="15" t="s">
        <v>2151</v>
      </c>
      <c r="C97" s="16" t="s">
        <v>2152</v>
      </c>
      <c r="D97" s="15" t="s">
        <v>1968</v>
      </c>
      <c r="E97" s="15" t="s">
        <v>2153</v>
      </c>
    </row>
    <row r="98" customFormat="false" ht="15" hidden="false" customHeight="false" outlineLevel="0" collapsed="false">
      <c r="A98" s="15" t="s">
        <v>459</v>
      </c>
      <c r="B98" s="15" t="s">
        <v>2154</v>
      </c>
      <c r="C98" s="16" t="s">
        <v>2155</v>
      </c>
      <c r="D98" s="15" t="s">
        <v>1968</v>
      </c>
      <c r="E98" s="15" t="s">
        <v>2156</v>
      </c>
    </row>
    <row r="99" customFormat="false" ht="15" hidden="false" customHeight="false" outlineLevel="0" collapsed="false">
      <c r="A99" s="15" t="s">
        <v>459</v>
      </c>
      <c r="B99" s="15" t="s">
        <v>2157</v>
      </c>
      <c r="C99" s="16" t="s">
        <v>2158</v>
      </c>
      <c r="D99" s="15" t="s">
        <v>1968</v>
      </c>
      <c r="E99" s="15" t="s">
        <v>2159</v>
      </c>
    </row>
    <row r="100" customFormat="false" ht="23.85" hidden="false" customHeight="false" outlineLevel="0" collapsed="false">
      <c r="A100" s="15" t="s">
        <v>459</v>
      </c>
      <c r="B100" s="15" t="s">
        <v>2160</v>
      </c>
      <c r="C100" s="16" t="s">
        <v>2161</v>
      </c>
      <c r="D100" s="15" t="s">
        <v>1968</v>
      </c>
      <c r="E100" s="15" t="s">
        <v>2162</v>
      </c>
    </row>
    <row r="101" customFormat="false" ht="23.85" hidden="false" customHeight="false" outlineLevel="0" collapsed="false">
      <c r="A101" s="15" t="s">
        <v>459</v>
      </c>
      <c r="B101" s="15" t="s">
        <v>2163</v>
      </c>
      <c r="C101" s="16" t="s">
        <v>2164</v>
      </c>
      <c r="D101" s="15" t="s">
        <v>1968</v>
      </c>
      <c r="E101" s="15" t="s">
        <v>2165</v>
      </c>
    </row>
    <row r="102" customFormat="false" ht="23.85" hidden="false" customHeight="false" outlineLevel="0" collapsed="false">
      <c r="A102" s="15" t="s">
        <v>459</v>
      </c>
      <c r="B102" s="15" t="s">
        <v>2166</v>
      </c>
      <c r="C102" s="16" t="s">
        <v>2167</v>
      </c>
      <c r="D102" s="15" t="s">
        <v>1968</v>
      </c>
      <c r="E102" s="15" t="s">
        <v>2168</v>
      </c>
    </row>
    <row r="103" customFormat="false" ht="35.05" hidden="false" customHeight="false" outlineLevel="0" collapsed="false">
      <c r="A103" s="15" t="s">
        <v>463</v>
      </c>
      <c r="B103" s="15" t="s">
        <v>2169</v>
      </c>
      <c r="C103" s="15"/>
      <c r="D103" s="15" t="s">
        <v>1968</v>
      </c>
      <c r="E103" s="15" t="s">
        <v>2170</v>
      </c>
    </row>
    <row r="104" customFormat="false" ht="35.05" hidden="false" customHeight="false" outlineLevel="0" collapsed="false">
      <c r="A104" s="15" t="s">
        <v>463</v>
      </c>
      <c r="B104" s="15" t="s">
        <v>2171</v>
      </c>
      <c r="C104" s="16" t="s">
        <v>1319</v>
      </c>
      <c r="D104" s="15" t="s">
        <v>1949</v>
      </c>
      <c r="E104" s="15" t="s">
        <v>2172</v>
      </c>
    </row>
    <row r="105" customFormat="false" ht="35.05" hidden="false" customHeight="false" outlineLevel="0" collapsed="false">
      <c r="A105" s="15" t="s">
        <v>463</v>
      </c>
      <c r="B105" s="15" t="s">
        <v>2173</v>
      </c>
      <c r="C105" s="16" t="s">
        <v>2174</v>
      </c>
      <c r="D105" s="15" t="s">
        <v>1949</v>
      </c>
      <c r="E105" s="15" t="s">
        <v>2175</v>
      </c>
    </row>
    <row r="106" customFormat="false" ht="35.05" hidden="false" customHeight="false" outlineLevel="0" collapsed="false">
      <c r="A106" s="15" t="s">
        <v>463</v>
      </c>
      <c r="B106" s="15" t="s">
        <v>2176</v>
      </c>
      <c r="C106" s="16" t="s">
        <v>1142</v>
      </c>
      <c r="D106" s="15" t="s">
        <v>1949</v>
      </c>
      <c r="E106" s="15" t="s">
        <v>2177</v>
      </c>
    </row>
    <row r="107" customFormat="false" ht="23.85" hidden="false" customHeight="false" outlineLevel="0" collapsed="false">
      <c r="A107" s="15" t="s">
        <v>463</v>
      </c>
      <c r="B107" s="15" t="s">
        <v>2178</v>
      </c>
      <c r="C107" s="16" t="s">
        <v>852</v>
      </c>
      <c r="D107" s="15" t="s">
        <v>1949</v>
      </c>
      <c r="E107" s="15" t="s">
        <v>2179</v>
      </c>
    </row>
    <row r="108" customFormat="false" ht="35.05" hidden="false" customHeight="false" outlineLevel="0" collapsed="false">
      <c r="A108" s="15" t="s">
        <v>463</v>
      </c>
      <c r="B108" s="15" t="s">
        <v>2180</v>
      </c>
      <c r="C108" s="16" t="s">
        <v>1316</v>
      </c>
      <c r="D108" s="15" t="s">
        <v>1949</v>
      </c>
      <c r="E108" s="15" t="s">
        <v>2181</v>
      </c>
    </row>
    <row r="109" customFormat="false" ht="23.85" hidden="false" customHeight="false" outlineLevel="0" collapsed="false">
      <c r="A109" s="15" t="s">
        <v>463</v>
      </c>
      <c r="B109" s="15" t="s">
        <v>2182</v>
      </c>
      <c r="C109" s="16" t="s">
        <v>1121</v>
      </c>
      <c r="D109" s="15" t="s">
        <v>1949</v>
      </c>
      <c r="E109" s="15" t="s">
        <v>2183</v>
      </c>
    </row>
    <row r="110" customFormat="false" ht="23.85" hidden="false" customHeight="false" outlineLevel="0" collapsed="false">
      <c r="A110" s="15" t="s">
        <v>463</v>
      </c>
      <c r="B110" s="15" t="s">
        <v>2184</v>
      </c>
      <c r="C110" s="16" t="s">
        <v>465</v>
      </c>
      <c r="D110" s="15" t="s">
        <v>1949</v>
      </c>
      <c r="E110" s="15" t="s">
        <v>2185</v>
      </c>
    </row>
    <row r="111" customFormat="false" ht="23.85" hidden="false" customHeight="false" outlineLevel="0" collapsed="false">
      <c r="A111" s="15" t="s">
        <v>463</v>
      </c>
      <c r="B111" s="15" t="s">
        <v>2186</v>
      </c>
      <c r="C111" s="16" t="s">
        <v>711</v>
      </c>
      <c r="D111" s="15" t="s">
        <v>1949</v>
      </c>
      <c r="E111" s="15" t="s">
        <v>2187</v>
      </c>
    </row>
    <row r="112" customFormat="false" ht="23.85" hidden="false" customHeight="false" outlineLevel="0" collapsed="false">
      <c r="A112" s="15" t="s">
        <v>463</v>
      </c>
      <c r="B112" s="15" t="s">
        <v>2188</v>
      </c>
      <c r="C112" s="16" t="s">
        <v>623</v>
      </c>
      <c r="D112" s="15" t="s">
        <v>1949</v>
      </c>
      <c r="E112" s="15" t="s">
        <v>2189</v>
      </c>
    </row>
    <row r="113" customFormat="false" ht="23.85" hidden="false" customHeight="false" outlineLevel="0" collapsed="false">
      <c r="A113" s="15" t="s">
        <v>463</v>
      </c>
      <c r="B113" s="15" t="s">
        <v>2190</v>
      </c>
      <c r="C113" s="16" t="s">
        <v>639</v>
      </c>
      <c r="D113" s="15" t="s">
        <v>1949</v>
      </c>
      <c r="E113" s="15" t="s">
        <v>2191</v>
      </c>
    </row>
    <row r="114" customFormat="false" ht="23.85" hidden="false" customHeight="false" outlineLevel="0" collapsed="false">
      <c r="A114" s="15" t="s">
        <v>463</v>
      </c>
      <c r="B114" s="15" t="s">
        <v>2192</v>
      </c>
      <c r="C114" s="16" t="s">
        <v>446</v>
      </c>
      <c r="D114" s="15" t="s">
        <v>1949</v>
      </c>
      <c r="E114" s="15" t="s">
        <v>2193</v>
      </c>
    </row>
    <row r="115" customFormat="false" ht="23.85" hidden="false" customHeight="false" outlineLevel="0" collapsed="false">
      <c r="A115" s="15" t="s">
        <v>463</v>
      </c>
      <c r="B115" s="15" t="s">
        <v>2194</v>
      </c>
      <c r="C115" s="16" t="s">
        <v>443</v>
      </c>
      <c r="D115" s="15" t="s">
        <v>1949</v>
      </c>
      <c r="E115" s="15" t="s">
        <v>2195</v>
      </c>
    </row>
    <row r="116" customFormat="false" ht="15" hidden="false" customHeight="false" outlineLevel="0" collapsed="false">
      <c r="A116" s="15" t="s">
        <v>463</v>
      </c>
      <c r="B116" s="15" t="s">
        <v>2196</v>
      </c>
      <c r="C116" s="16" t="s">
        <v>844</v>
      </c>
      <c r="D116" s="15" t="s">
        <v>1949</v>
      </c>
      <c r="E116" s="15" t="s">
        <v>2197</v>
      </c>
    </row>
    <row r="117" customFormat="false" ht="23.85" hidden="false" customHeight="false" outlineLevel="0" collapsed="false">
      <c r="A117" s="15" t="s">
        <v>463</v>
      </c>
      <c r="B117" s="15" t="s">
        <v>2198</v>
      </c>
      <c r="C117" s="16" t="s">
        <v>1369</v>
      </c>
      <c r="D117" s="15" t="s">
        <v>1949</v>
      </c>
      <c r="E117" s="15" t="s">
        <v>2199</v>
      </c>
    </row>
    <row r="118" customFormat="false" ht="23.85" hidden="false" customHeight="false" outlineLevel="0" collapsed="false">
      <c r="A118" s="15" t="s">
        <v>463</v>
      </c>
      <c r="B118" s="15" t="s">
        <v>2200</v>
      </c>
      <c r="C118" s="16" t="s">
        <v>1221</v>
      </c>
      <c r="D118" s="15" t="s">
        <v>1949</v>
      </c>
      <c r="E118" s="15" t="s">
        <v>2201</v>
      </c>
    </row>
    <row r="119" customFormat="false" ht="15" hidden="false" customHeight="false" outlineLevel="0" collapsed="false">
      <c r="A119" s="15" t="s">
        <v>463</v>
      </c>
      <c r="B119" s="15" t="s">
        <v>2202</v>
      </c>
      <c r="C119" s="16" t="s">
        <v>2203</v>
      </c>
      <c r="D119" s="15" t="s">
        <v>1968</v>
      </c>
      <c r="E119" s="15" t="s">
        <v>2204</v>
      </c>
    </row>
    <row r="120" customFormat="false" ht="23.85" hidden="false" customHeight="false" outlineLevel="0" collapsed="false">
      <c r="A120" s="15" t="s">
        <v>463</v>
      </c>
      <c r="B120" s="15" t="s">
        <v>2205</v>
      </c>
      <c r="C120" s="16" t="s">
        <v>2206</v>
      </c>
      <c r="D120" s="15" t="s">
        <v>1968</v>
      </c>
      <c r="E120" s="15" t="s">
        <v>2207</v>
      </c>
    </row>
    <row r="121" customFormat="false" ht="15" hidden="false" customHeight="false" outlineLevel="0" collapsed="false">
      <c r="A121" s="15" t="s">
        <v>463</v>
      </c>
      <c r="B121" s="15" t="s">
        <v>2208</v>
      </c>
      <c r="C121" s="16" t="s">
        <v>2209</v>
      </c>
      <c r="D121" s="15" t="s">
        <v>1968</v>
      </c>
      <c r="E121" s="15" t="s">
        <v>2210</v>
      </c>
    </row>
    <row r="122" customFormat="false" ht="35.05" hidden="false" customHeight="false" outlineLevel="0" collapsed="false">
      <c r="A122" s="15" t="s">
        <v>463</v>
      </c>
      <c r="B122" s="15" t="s">
        <v>2211</v>
      </c>
      <c r="C122" s="15"/>
      <c r="D122" s="15" t="s">
        <v>1968</v>
      </c>
      <c r="E122" s="15" t="s">
        <v>2212</v>
      </c>
    </row>
    <row r="123" customFormat="false" ht="15" hidden="false" customHeight="false" outlineLevel="0" collapsed="false">
      <c r="A123" s="15" t="s">
        <v>467</v>
      </c>
      <c r="B123" s="15" t="s">
        <v>2213</v>
      </c>
      <c r="C123" s="16" t="s">
        <v>494</v>
      </c>
      <c r="D123" s="15" t="s">
        <v>1949</v>
      </c>
      <c r="E123" s="15" t="s">
        <v>2214</v>
      </c>
    </row>
    <row r="124" customFormat="false" ht="23.85" hidden="false" customHeight="false" outlineLevel="0" collapsed="false">
      <c r="A124" s="15" t="s">
        <v>467</v>
      </c>
      <c r="B124" s="15" t="s">
        <v>2215</v>
      </c>
      <c r="C124" s="16" t="s">
        <v>523</v>
      </c>
      <c r="D124" s="15" t="s">
        <v>1949</v>
      </c>
      <c r="E124" s="15" t="s">
        <v>2216</v>
      </c>
    </row>
    <row r="125" customFormat="false" ht="15" hidden="false" customHeight="false" outlineLevel="0" collapsed="false">
      <c r="A125" s="15" t="s">
        <v>467</v>
      </c>
      <c r="B125" s="15" t="s">
        <v>2217</v>
      </c>
      <c r="C125" s="16" t="s">
        <v>773</v>
      </c>
      <c r="D125" s="15" t="s">
        <v>1949</v>
      </c>
      <c r="E125" s="15" t="s">
        <v>2218</v>
      </c>
    </row>
    <row r="126" customFormat="false" ht="15" hidden="false" customHeight="false" outlineLevel="0" collapsed="false">
      <c r="A126" s="15" t="s">
        <v>467</v>
      </c>
      <c r="B126" s="15" t="s">
        <v>471</v>
      </c>
      <c r="C126" s="16" t="s">
        <v>750</v>
      </c>
      <c r="D126" s="15" t="s">
        <v>1949</v>
      </c>
      <c r="E126" s="15" t="s">
        <v>2219</v>
      </c>
    </row>
    <row r="127" customFormat="false" ht="15" hidden="false" customHeight="false" outlineLevel="0" collapsed="false">
      <c r="A127" s="15" t="s">
        <v>467</v>
      </c>
      <c r="B127" s="15" t="s">
        <v>1375</v>
      </c>
      <c r="C127" s="16" t="s">
        <v>1376</v>
      </c>
      <c r="D127" s="15" t="s">
        <v>1949</v>
      </c>
      <c r="E127" s="15" t="s">
        <v>2220</v>
      </c>
    </row>
    <row r="128" customFormat="false" ht="15" hidden="false" customHeight="false" outlineLevel="0" collapsed="false">
      <c r="A128" s="15" t="s">
        <v>467</v>
      </c>
      <c r="B128" s="15" t="s">
        <v>2221</v>
      </c>
      <c r="C128" s="16" t="s">
        <v>864</v>
      </c>
      <c r="D128" s="15" t="s">
        <v>1949</v>
      </c>
      <c r="E128" s="15" t="s">
        <v>2222</v>
      </c>
    </row>
    <row r="129" customFormat="false" ht="15" hidden="false" customHeight="false" outlineLevel="0" collapsed="false">
      <c r="A129" s="15" t="s">
        <v>467</v>
      </c>
      <c r="B129" s="15" t="s">
        <v>2223</v>
      </c>
      <c r="C129" s="16" t="s">
        <v>815</v>
      </c>
      <c r="D129" s="15" t="s">
        <v>1949</v>
      </c>
      <c r="E129" s="15" t="s">
        <v>2224</v>
      </c>
    </row>
    <row r="130" customFormat="false" ht="15" hidden="false" customHeight="false" outlineLevel="0" collapsed="false">
      <c r="A130" s="15" t="s">
        <v>467</v>
      </c>
      <c r="B130" s="15" t="s">
        <v>2225</v>
      </c>
      <c r="C130" s="16" t="s">
        <v>901</v>
      </c>
      <c r="D130" s="15" t="s">
        <v>1949</v>
      </c>
      <c r="E130" s="15" t="s">
        <v>2226</v>
      </c>
    </row>
    <row r="131" customFormat="false" ht="15" hidden="false" customHeight="false" outlineLevel="0" collapsed="false">
      <c r="A131" s="15" t="s">
        <v>467</v>
      </c>
      <c r="B131" s="15" t="s">
        <v>2227</v>
      </c>
      <c r="C131" s="16" t="s">
        <v>602</v>
      </c>
      <c r="D131" s="15" t="s">
        <v>1949</v>
      </c>
      <c r="E131" s="15" t="s">
        <v>2228</v>
      </c>
    </row>
    <row r="132" customFormat="false" ht="15" hidden="false" customHeight="false" outlineLevel="0" collapsed="false">
      <c r="A132" s="15" t="s">
        <v>467</v>
      </c>
      <c r="B132" s="15" t="s">
        <v>2229</v>
      </c>
      <c r="C132" s="16" t="s">
        <v>1079</v>
      </c>
      <c r="D132" s="15" t="s">
        <v>1949</v>
      </c>
      <c r="E132" s="15" t="s">
        <v>2230</v>
      </c>
    </row>
    <row r="133" customFormat="false" ht="23.85" hidden="false" customHeight="false" outlineLevel="0" collapsed="false">
      <c r="A133" s="15" t="s">
        <v>467</v>
      </c>
      <c r="B133" s="15" t="s">
        <v>2231</v>
      </c>
      <c r="C133" s="16" t="s">
        <v>668</v>
      </c>
      <c r="D133" s="15" t="s">
        <v>1949</v>
      </c>
      <c r="E133" s="15" t="s">
        <v>2232</v>
      </c>
    </row>
    <row r="134" customFormat="false" ht="15" hidden="false" customHeight="false" outlineLevel="0" collapsed="false">
      <c r="A134" s="15" t="s">
        <v>467</v>
      </c>
      <c r="B134" s="15" t="s">
        <v>2233</v>
      </c>
      <c r="C134" s="16" t="s">
        <v>929</v>
      </c>
      <c r="D134" s="15" t="s">
        <v>1949</v>
      </c>
      <c r="E134" s="15" t="s">
        <v>2234</v>
      </c>
    </row>
    <row r="135" customFormat="false" ht="23.85" hidden="false" customHeight="false" outlineLevel="0" collapsed="false">
      <c r="A135" s="15" t="s">
        <v>467</v>
      </c>
      <c r="B135" s="15" t="s">
        <v>2235</v>
      </c>
      <c r="C135" s="16" t="s">
        <v>2236</v>
      </c>
      <c r="D135" s="15" t="s">
        <v>1968</v>
      </c>
      <c r="E135" s="15" t="s">
        <v>2237</v>
      </c>
    </row>
    <row r="136" customFormat="false" ht="23.85" hidden="false" customHeight="false" outlineLevel="0" collapsed="false">
      <c r="A136" s="15" t="s">
        <v>467</v>
      </c>
      <c r="B136" s="15" t="s">
        <v>2238</v>
      </c>
      <c r="C136" s="16" t="s">
        <v>2239</v>
      </c>
      <c r="D136" s="15" t="s">
        <v>1968</v>
      </c>
      <c r="E136" s="15" t="s">
        <v>2240</v>
      </c>
    </row>
    <row r="137" customFormat="false" ht="15" hidden="false" customHeight="false" outlineLevel="0" collapsed="false">
      <c r="A137" s="15" t="s">
        <v>477</v>
      </c>
      <c r="B137" s="15" t="s">
        <v>2241</v>
      </c>
      <c r="C137" s="16" t="s">
        <v>443</v>
      </c>
      <c r="D137" s="15" t="s">
        <v>1949</v>
      </c>
      <c r="E137" s="15" t="s">
        <v>2242</v>
      </c>
    </row>
    <row r="138" customFormat="false" ht="15" hidden="false" customHeight="false" outlineLevel="0" collapsed="false">
      <c r="A138" s="15" t="s">
        <v>477</v>
      </c>
      <c r="B138" s="15" t="s">
        <v>2243</v>
      </c>
      <c r="C138" s="16" t="s">
        <v>481</v>
      </c>
      <c r="D138" s="15" t="s">
        <v>1949</v>
      </c>
      <c r="E138" s="15" t="s">
        <v>2244</v>
      </c>
    </row>
    <row r="139" customFormat="false" ht="15" hidden="false" customHeight="false" outlineLevel="0" collapsed="false">
      <c r="A139" s="15" t="s">
        <v>477</v>
      </c>
      <c r="B139" s="15" t="s">
        <v>2245</v>
      </c>
      <c r="C139" s="16" t="s">
        <v>484</v>
      </c>
      <c r="D139" s="15" t="s">
        <v>1949</v>
      </c>
      <c r="E139" s="15" t="s">
        <v>2246</v>
      </c>
    </row>
    <row r="140" customFormat="false" ht="23.85" hidden="false" customHeight="false" outlineLevel="0" collapsed="false">
      <c r="A140" s="15" t="s">
        <v>477</v>
      </c>
      <c r="B140" s="15" t="s">
        <v>2247</v>
      </c>
      <c r="C140" s="16" t="s">
        <v>714</v>
      </c>
      <c r="D140" s="15" t="s">
        <v>1949</v>
      </c>
      <c r="E140" s="15" t="s">
        <v>2248</v>
      </c>
    </row>
    <row r="141" customFormat="false" ht="15" hidden="false" customHeight="false" outlineLevel="0" collapsed="false">
      <c r="A141" s="15" t="s">
        <v>477</v>
      </c>
      <c r="B141" s="15" t="s">
        <v>2249</v>
      </c>
      <c r="C141" s="16" t="s">
        <v>984</v>
      </c>
      <c r="D141" s="15" t="s">
        <v>1949</v>
      </c>
      <c r="E141" s="15" t="s">
        <v>2250</v>
      </c>
    </row>
    <row r="142" customFormat="false" ht="15" hidden="false" customHeight="false" outlineLevel="0" collapsed="false">
      <c r="A142" s="15" t="s">
        <v>477</v>
      </c>
      <c r="B142" s="15" t="s">
        <v>2251</v>
      </c>
      <c r="C142" s="16" t="s">
        <v>987</v>
      </c>
      <c r="D142" s="15" t="s">
        <v>1949</v>
      </c>
      <c r="E142" s="15" t="s">
        <v>2252</v>
      </c>
    </row>
    <row r="143" customFormat="false" ht="23.85" hidden="false" customHeight="false" outlineLevel="0" collapsed="false">
      <c r="A143" s="15" t="s">
        <v>477</v>
      </c>
      <c r="B143" s="15" t="s">
        <v>2253</v>
      </c>
      <c r="C143" s="16" t="s">
        <v>717</v>
      </c>
      <c r="D143" s="15" t="s">
        <v>1949</v>
      </c>
      <c r="E143" s="15" t="s">
        <v>2254</v>
      </c>
    </row>
    <row r="144" customFormat="false" ht="15" hidden="false" customHeight="false" outlineLevel="0" collapsed="false">
      <c r="A144" s="15" t="s">
        <v>477</v>
      </c>
      <c r="B144" s="15" t="s">
        <v>2255</v>
      </c>
      <c r="C144" s="16" t="s">
        <v>1284</v>
      </c>
      <c r="D144" s="15" t="s">
        <v>1949</v>
      </c>
      <c r="E144" s="15" t="s">
        <v>2256</v>
      </c>
    </row>
    <row r="145" customFormat="false" ht="23.85" hidden="false" customHeight="false" outlineLevel="0" collapsed="false">
      <c r="A145" s="15" t="s">
        <v>477</v>
      </c>
      <c r="B145" s="15" t="s">
        <v>2257</v>
      </c>
      <c r="C145" s="16" t="s">
        <v>871</v>
      </c>
      <c r="D145" s="15" t="s">
        <v>1949</v>
      </c>
      <c r="E145" s="15" t="s">
        <v>2258</v>
      </c>
    </row>
    <row r="146" customFormat="false" ht="23.85" hidden="false" customHeight="false" outlineLevel="0" collapsed="false">
      <c r="A146" s="15" t="s">
        <v>477</v>
      </c>
      <c r="B146" s="15" t="s">
        <v>1447</v>
      </c>
      <c r="C146" s="16" t="s">
        <v>1448</v>
      </c>
      <c r="D146" s="15" t="s">
        <v>1949</v>
      </c>
      <c r="E146" s="15" t="s">
        <v>2259</v>
      </c>
    </row>
    <row r="147" customFormat="false" ht="23.85" hidden="false" customHeight="false" outlineLevel="0" collapsed="false">
      <c r="A147" s="15" t="s">
        <v>477</v>
      </c>
      <c r="B147" s="15" t="s">
        <v>2260</v>
      </c>
      <c r="C147" s="16" t="s">
        <v>1504</v>
      </c>
      <c r="D147" s="15" t="s">
        <v>1949</v>
      </c>
      <c r="E147" s="15" t="s">
        <v>2261</v>
      </c>
    </row>
    <row r="148" customFormat="false" ht="15" hidden="false" customHeight="false" outlineLevel="0" collapsed="false">
      <c r="A148" s="15" t="s">
        <v>477</v>
      </c>
      <c r="B148" s="15" t="s">
        <v>2262</v>
      </c>
      <c r="C148" s="16" t="s">
        <v>1507</v>
      </c>
      <c r="D148" s="15" t="s">
        <v>1949</v>
      </c>
      <c r="E148" s="15" t="s">
        <v>2263</v>
      </c>
    </row>
    <row r="149" customFormat="false" ht="15" hidden="false" customHeight="false" outlineLevel="0" collapsed="false">
      <c r="A149" s="15" t="s">
        <v>477</v>
      </c>
      <c r="B149" s="15" t="s">
        <v>2264</v>
      </c>
      <c r="C149" s="16" t="s">
        <v>1089</v>
      </c>
      <c r="D149" s="15" t="s">
        <v>1949</v>
      </c>
      <c r="E149" s="15" t="s">
        <v>2265</v>
      </c>
    </row>
    <row r="150" customFormat="false" ht="15" hidden="false" customHeight="false" outlineLevel="0" collapsed="false">
      <c r="A150" s="15" t="s">
        <v>477</v>
      </c>
      <c r="B150" s="15" t="s">
        <v>2266</v>
      </c>
      <c r="C150" s="16" t="s">
        <v>1171</v>
      </c>
      <c r="D150" s="15" t="s">
        <v>1949</v>
      </c>
      <c r="E150" s="15" t="s">
        <v>2267</v>
      </c>
    </row>
    <row r="151" customFormat="false" ht="15" hidden="false" customHeight="false" outlineLevel="0" collapsed="false">
      <c r="A151" s="15" t="s">
        <v>477</v>
      </c>
      <c r="B151" s="15" t="s">
        <v>2268</v>
      </c>
      <c r="C151" s="16" t="s">
        <v>1086</v>
      </c>
      <c r="D151" s="15" t="s">
        <v>1949</v>
      </c>
      <c r="E151" s="15" t="s">
        <v>2269</v>
      </c>
    </row>
    <row r="152" customFormat="false" ht="15" hidden="false" customHeight="false" outlineLevel="0" collapsed="false">
      <c r="A152" s="15" t="s">
        <v>477</v>
      </c>
      <c r="B152" s="15" t="s">
        <v>2270</v>
      </c>
      <c r="C152" s="16" t="s">
        <v>680</v>
      </c>
      <c r="D152" s="15" t="s">
        <v>1949</v>
      </c>
      <c r="E152" s="15" t="s">
        <v>2271</v>
      </c>
    </row>
    <row r="153" customFormat="false" ht="23.85" hidden="false" customHeight="false" outlineLevel="0" collapsed="false">
      <c r="A153" s="15" t="s">
        <v>477</v>
      </c>
      <c r="B153" s="15" t="s">
        <v>2272</v>
      </c>
      <c r="C153" s="16" t="s">
        <v>1383</v>
      </c>
      <c r="D153" s="15" t="s">
        <v>1949</v>
      </c>
      <c r="E153" s="15" t="s">
        <v>2273</v>
      </c>
    </row>
    <row r="154" customFormat="false" ht="23.85" hidden="false" customHeight="false" outlineLevel="0" collapsed="false">
      <c r="A154" s="15" t="s">
        <v>477</v>
      </c>
      <c r="B154" s="15" t="s">
        <v>2274</v>
      </c>
      <c r="C154" s="16" t="s">
        <v>1434</v>
      </c>
      <c r="D154" s="15" t="s">
        <v>1949</v>
      </c>
      <c r="E154" s="15" t="s">
        <v>2275</v>
      </c>
    </row>
    <row r="155" customFormat="false" ht="23.85" hidden="false" customHeight="false" outlineLevel="0" collapsed="false">
      <c r="A155" s="15" t="s">
        <v>477</v>
      </c>
      <c r="B155" s="15" t="s">
        <v>2276</v>
      </c>
      <c r="C155" s="16" t="s">
        <v>1535</v>
      </c>
      <c r="D155" s="15" t="s">
        <v>1949</v>
      </c>
      <c r="E155" s="15" t="s">
        <v>2277</v>
      </c>
    </row>
    <row r="156" customFormat="false" ht="23.85" hidden="false" customHeight="false" outlineLevel="0" collapsed="false">
      <c r="A156" s="15" t="s">
        <v>477</v>
      </c>
      <c r="B156" s="15" t="s">
        <v>2278</v>
      </c>
      <c r="C156" s="16" t="s">
        <v>835</v>
      </c>
      <c r="D156" s="15" t="s">
        <v>1949</v>
      </c>
      <c r="E156" s="15" t="s">
        <v>2279</v>
      </c>
    </row>
    <row r="157" customFormat="false" ht="23.85" hidden="false" customHeight="false" outlineLevel="0" collapsed="false">
      <c r="A157" s="15" t="s">
        <v>477</v>
      </c>
      <c r="B157" s="15" t="s">
        <v>2280</v>
      </c>
      <c r="C157" s="16" t="s">
        <v>1409</v>
      </c>
      <c r="D157" s="15" t="s">
        <v>1949</v>
      </c>
      <c r="E157" s="15" t="s">
        <v>2281</v>
      </c>
    </row>
    <row r="158" customFormat="false" ht="23.85" hidden="false" customHeight="false" outlineLevel="0" collapsed="false">
      <c r="A158" s="15" t="s">
        <v>477</v>
      </c>
      <c r="B158" s="15" t="s">
        <v>2282</v>
      </c>
      <c r="C158" s="16" t="s">
        <v>2283</v>
      </c>
      <c r="D158" s="15" t="s">
        <v>1949</v>
      </c>
      <c r="E158" s="15" t="s">
        <v>2284</v>
      </c>
    </row>
    <row r="159" customFormat="false" ht="23.85" hidden="false" customHeight="false" outlineLevel="0" collapsed="false">
      <c r="A159" s="15" t="s">
        <v>477</v>
      </c>
      <c r="B159" s="15" t="s">
        <v>2285</v>
      </c>
      <c r="C159" s="16" t="s">
        <v>2286</v>
      </c>
      <c r="D159" s="15" t="s">
        <v>1968</v>
      </c>
      <c r="E159" s="15" t="s">
        <v>2287</v>
      </c>
    </row>
    <row r="160" customFormat="false" ht="23.85" hidden="false" customHeight="false" outlineLevel="0" collapsed="false">
      <c r="A160" s="15" t="s">
        <v>477</v>
      </c>
      <c r="B160" s="15" t="s">
        <v>2288</v>
      </c>
      <c r="C160" s="16" t="s">
        <v>2289</v>
      </c>
      <c r="D160" s="15" t="s">
        <v>1968</v>
      </c>
      <c r="E160" s="15" t="s">
        <v>2290</v>
      </c>
    </row>
    <row r="161" customFormat="false" ht="15" hidden="false" customHeight="false" outlineLevel="0" collapsed="false">
      <c r="A161" s="15" t="s">
        <v>477</v>
      </c>
      <c r="B161" s="15" t="s">
        <v>2291</v>
      </c>
      <c r="C161" s="16" t="s">
        <v>2292</v>
      </c>
      <c r="D161" s="15" t="s">
        <v>1968</v>
      </c>
      <c r="E161" s="15" t="s">
        <v>2293</v>
      </c>
    </row>
    <row r="162" customFormat="false" ht="46.25" hidden="false" customHeight="false" outlineLevel="0" collapsed="false">
      <c r="A162" s="15" t="s">
        <v>486</v>
      </c>
      <c r="B162" s="15" t="s">
        <v>2294</v>
      </c>
      <c r="C162" s="16" t="s">
        <v>937</v>
      </c>
      <c r="D162" s="15" t="s">
        <v>1949</v>
      </c>
      <c r="E162" s="15" t="s">
        <v>2295</v>
      </c>
    </row>
    <row r="163" customFormat="false" ht="23.85" hidden="false" customHeight="false" outlineLevel="0" collapsed="false">
      <c r="A163" s="15" t="s">
        <v>486</v>
      </c>
      <c r="B163" s="15" t="s">
        <v>2296</v>
      </c>
      <c r="C163" s="16" t="s">
        <v>488</v>
      </c>
      <c r="D163" s="15" t="s">
        <v>1949</v>
      </c>
      <c r="E163" s="15" t="s">
        <v>2297</v>
      </c>
    </row>
    <row r="164" customFormat="false" ht="15" hidden="false" customHeight="false" outlineLevel="0" collapsed="false">
      <c r="A164" s="15" t="s">
        <v>486</v>
      </c>
      <c r="B164" s="15" t="s">
        <v>2298</v>
      </c>
      <c r="C164" s="16" t="s">
        <v>798</v>
      </c>
      <c r="D164" s="15" t="s">
        <v>1949</v>
      </c>
      <c r="E164" s="15" t="s">
        <v>2299</v>
      </c>
    </row>
    <row r="165" customFormat="false" ht="23.85" hidden="false" customHeight="false" outlineLevel="0" collapsed="false">
      <c r="A165" s="15" t="s">
        <v>486</v>
      </c>
      <c r="B165" s="15" t="s">
        <v>2300</v>
      </c>
      <c r="C165" s="16" t="s">
        <v>617</v>
      </c>
      <c r="D165" s="15" t="s">
        <v>1949</v>
      </c>
      <c r="E165" s="15" t="s">
        <v>2301</v>
      </c>
    </row>
    <row r="166" customFormat="false" ht="23.85" hidden="false" customHeight="false" outlineLevel="0" collapsed="false">
      <c r="A166" s="15" t="s">
        <v>486</v>
      </c>
      <c r="B166" s="15" t="s">
        <v>1104</v>
      </c>
      <c r="C166" s="16" t="s">
        <v>1105</v>
      </c>
      <c r="D166" s="15" t="s">
        <v>1949</v>
      </c>
      <c r="E166" s="15" t="s">
        <v>2302</v>
      </c>
    </row>
    <row r="167" customFormat="false" ht="15" hidden="false" customHeight="false" outlineLevel="0" collapsed="false">
      <c r="A167" s="15" t="s">
        <v>486</v>
      </c>
      <c r="B167" s="15" t="s">
        <v>2303</v>
      </c>
      <c r="C167" s="16" t="s">
        <v>686</v>
      </c>
      <c r="D167" s="15" t="s">
        <v>1949</v>
      </c>
      <c r="E167" s="15" t="s">
        <v>2304</v>
      </c>
    </row>
    <row r="168" customFormat="false" ht="23.85" hidden="false" customHeight="false" outlineLevel="0" collapsed="false">
      <c r="A168" s="15" t="s">
        <v>486</v>
      </c>
      <c r="B168" s="15" t="s">
        <v>2305</v>
      </c>
      <c r="C168" s="16" t="s">
        <v>801</v>
      </c>
      <c r="D168" s="15" t="s">
        <v>1949</v>
      </c>
      <c r="E168" s="15" t="s">
        <v>2306</v>
      </c>
    </row>
    <row r="169" customFormat="false" ht="35.05" hidden="false" customHeight="false" outlineLevel="0" collapsed="false">
      <c r="A169" s="15" t="s">
        <v>486</v>
      </c>
      <c r="B169" s="15" t="s">
        <v>2307</v>
      </c>
      <c r="C169" s="16" t="s">
        <v>689</v>
      </c>
      <c r="D169" s="15" t="s">
        <v>1949</v>
      </c>
      <c r="E169" s="15" t="s">
        <v>2308</v>
      </c>
    </row>
    <row r="170" customFormat="false" ht="23.85" hidden="false" customHeight="false" outlineLevel="0" collapsed="false">
      <c r="A170" s="15" t="s">
        <v>486</v>
      </c>
      <c r="B170" s="15" t="s">
        <v>2309</v>
      </c>
      <c r="C170" s="16" t="s">
        <v>2310</v>
      </c>
      <c r="D170" s="15" t="s">
        <v>1968</v>
      </c>
      <c r="E170" s="15" t="s">
        <v>2311</v>
      </c>
    </row>
    <row r="171" customFormat="false" ht="23.85" hidden="false" customHeight="false" outlineLevel="0" collapsed="false">
      <c r="A171" s="15" t="s">
        <v>486</v>
      </c>
      <c r="B171" s="15" t="s">
        <v>2312</v>
      </c>
      <c r="C171" s="16" t="s">
        <v>877</v>
      </c>
      <c r="D171" s="15" t="s">
        <v>1949</v>
      </c>
      <c r="E171" s="15" t="s">
        <v>2313</v>
      </c>
    </row>
    <row r="172" customFormat="false" ht="23.85" hidden="false" customHeight="false" outlineLevel="0" collapsed="false">
      <c r="A172" s="15" t="s">
        <v>486</v>
      </c>
      <c r="B172" s="15" t="s">
        <v>2314</v>
      </c>
      <c r="C172" s="16" t="s">
        <v>532</v>
      </c>
      <c r="D172" s="15" t="s">
        <v>1949</v>
      </c>
      <c r="E172" s="15" t="s">
        <v>2315</v>
      </c>
    </row>
    <row r="173" customFormat="false" ht="23.85" hidden="false" customHeight="false" outlineLevel="0" collapsed="false">
      <c r="A173" s="15" t="s">
        <v>486</v>
      </c>
      <c r="B173" s="15" t="s">
        <v>2316</v>
      </c>
      <c r="C173" s="16" t="s">
        <v>2317</v>
      </c>
      <c r="D173" s="15" t="s">
        <v>1968</v>
      </c>
      <c r="E173" s="15" t="s">
        <v>2318</v>
      </c>
    </row>
    <row r="174" customFormat="false" ht="23.85" hidden="false" customHeight="false" outlineLevel="0" collapsed="false">
      <c r="A174" s="15" t="s">
        <v>486</v>
      </c>
      <c r="B174" s="15" t="s">
        <v>2319</v>
      </c>
      <c r="C174" s="16" t="s">
        <v>2320</v>
      </c>
      <c r="D174" s="15" t="s">
        <v>1968</v>
      </c>
      <c r="E174" s="15" t="s">
        <v>2321</v>
      </c>
    </row>
    <row r="175" customFormat="false" ht="15" hidden="false" customHeight="false" outlineLevel="0" collapsed="false">
      <c r="A175" s="15" t="s">
        <v>486</v>
      </c>
      <c r="B175" s="15" t="s">
        <v>2322</v>
      </c>
      <c r="C175" s="16" t="s">
        <v>2323</v>
      </c>
      <c r="D175" s="15" t="s">
        <v>1968</v>
      </c>
      <c r="E175" s="15" t="s">
        <v>2324</v>
      </c>
    </row>
    <row r="176" customFormat="false" ht="35.05" hidden="false" customHeight="false" outlineLevel="0" collapsed="false">
      <c r="A176" s="15" t="s">
        <v>486</v>
      </c>
      <c r="B176" s="15" t="s">
        <v>2325</v>
      </c>
      <c r="C176" s="16" t="s">
        <v>2326</v>
      </c>
      <c r="D176" s="15" t="s">
        <v>1968</v>
      </c>
      <c r="E176" s="15" t="s">
        <v>2327</v>
      </c>
    </row>
  </sheetData>
  <autoFilter ref="A1:E176"/>
  <hyperlinks>
    <hyperlink ref="C2" r:id="rId1" display="https://www.taskrabbit.com/cost-guides/general-handyman"/>
    <hyperlink ref="C3" r:id="rId2" display="https://www.thumbtack.com/p/handyman-prices"/>
    <hyperlink ref="C4" r:id="rId3" display="https://www.angi.com/articles/what-are-common-handyman-prices.htm"/>
    <hyperlink ref="C5" r:id="rId4" display="https://www.handy.com/services"/>
    <hyperlink ref="C6" r:id="rId5" display="https://www.airtasker.com/us/costs/handyman/handyman-prices/"/>
    <hyperlink ref="C7" r:id="rId6" display="https://www.bark.com/en/us/handyman/"/>
    <hyperlink ref="C8" r:id="rId7" display="https://www.thimble.com/blog/what-are-the-most-requested-handyman-services"/>
    <hyperlink ref="C9" r:id="rId8" display="https://www.amenify.com/blog/top-handyman-tasks-for-homeowners-in-us"/>
    <hyperlink ref="C10" r:id="rId9" display="https://smb.oxfordeagle.com/article/Home-Repair-Expert-Bryan-Harmon-Explains-the-Most-Common-Handyman-Tasks-in-HelloNation/6a08955bd6b3ec3c381af7f9"/>
    <hyperlink ref="C11" r:id="rId10" display="https://getjobber.com/academy/handyman/handyman-services-list/"/>
    <hyperlink ref="C12" r:id="rId11" display="https://webcf.waybackmachine.org/web/20220816230350/https://www.homeadvisor.com/cost"/>
    <hyperlink ref="C13" r:id="rId12" display="https://www.woodworkingnetwork.com/news/press-releases/most-popular-remodeling-search-terms-2014-porchcom"/>
    <hyperlink ref="C14" r:id="rId13" display="https://ir.angi.com/node/8256"/>
    <hyperlink ref="C15" r:id="rId14" display="https://www.yelp.com/"/>
    <hyperlink ref="C16" r:id="rId15" display="https://www.taskrabbit.com/"/>
    <hyperlink ref="C17" r:id="rId16" display="https://www.thimble.com/blog/what-are-the-most-requested-handyman-services"/>
    <hyperlink ref="C18" r:id="rId17" display="https://getjobber.com/academy/handyman/handyman-services-list/"/>
    <hyperlink ref="C19" r:id="rId18" display="https://academy.getjobber.com/handyman-services-list/"/>
    <hyperlink ref="C20" r:id="rId19" display="https://www.amenify.com/blog/top-handyman-tasks-for-homeowners-in-us"/>
    <hyperlink ref="C21" r:id="rId20" display="https://www.bobvila.com/articles/handyman-services-list/"/>
    <hyperlink ref="C22" r:id="rId21" display="https://www.housecallpro.com/resources/working-in-the-trades/handyman-list-ideas/"/>
    <hyperlink ref="C23" r:id="rId22" display="https://www.housecallpro.com/resources/handyman-contract-template-sample/"/>
    <hyperlink ref="C24" r:id="rId23" display="https://www.joist.com/blog/handyman-services-list/"/>
    <hyperlink ref="C25" r:id="rId24" display="https://handoff.ai/blog/handyman-services-list-the-ultimate-guide"/>
    <hyperlink ref="C26" r:id="rId25" display="https://insights.workwave.com/industry/handyman/handyman-services-list-to-offer-customers/"/>
    <hyperlink ref="C27" r:id="rId26" display="https://www.servicetitan.com/blog/handyman-services-list"/>
    <hyperlink ref="C28" r:id="rId27" display="https://handymanconnection.com/grapevine/2020/09/5-most-common-reasons-to-call-a-handyman"/>
    <hyperlink ref="C29" r:id="rId28" display="https://smb.oxfordeagle.com/article/Home-Repair-Expert-Bryan-Harmon-Explains-the-Most-Common-Handyman-Tasks-in-HelloNation/6a08955bd6b3ec3c381af7f9"/>
    <hyperlink ref="C30" r:id="rId29" display="https://www.instaservice.com/blog/what-does-a-handyman-do-complete-list-of-handyman-services/"/>
    <hyperlink ref="C31" r:id="rId30" display="https://www.taskrabbit.com/blog/10-common-handyman-tasks-you-can-outsource-instead-of-trying-to-diy/"/>
    <hyperlink ref="C32" r:id="rId31" display="https://www.upcover.com/blog/most-requested-handyman-services-a-guide-for-success"/>
    <hyperlink ref="C33" r:id="rId32" display="https://invoicefly.com/academy/handyman-services/"/>
    <hyperlink ref="C34" r:id="rId33" display="https://www.homeadvisor.com/tloc/Cranston-RI/Mount-Tv-Fixed-Price"/>
    <hyperlink ref="C35" r:id="rId34" display="https://mrhandyman.com/dover-portsmouth-rochester/about-us/ask-a-pro/2020/december/what-s-on-your-winter-honey-do-list-"/>
    <hyperlink ref="C36" r:id="rId35" display="https://landingpages.services.handy.com/services/p-smart-thermostat-install/washington-dc"/>
    <hyperlink ref="C37" r:id="rId36" display="https://www.buildzoom.com/answers/t/can-we-use-a-handyman-to-replace-a-garbage-disposal/1837"/>
    <hyperlink ref="C38" r:id="rId37" display="https://www.poyst.com/business/handyman-connection-of-kitchener"/>
    <hyperlink ref="C39" r:id="rId38" display="https://www.repairpricer.com/common-repairs-needed-after-home-inspection/"/>
    <hyperlink ref="C40" r:id="rId39" display="https://www.prnewswire.com/news-releases/repair-pricer-inspection-report-reveals-over-a-million-repairs-needed-for-homes-across-the-us-301308868.html"/>
    <hyperlink ref="C41" r:id="rId40" display="https://www.frontdoor.com/blog/lifestyle/diy-home-improvement-and-repair-jobs-we-most-need-help-with"/>
    <hyperlink ref="C42" r:id="rId41" display="https://frontdoor.com/blog/handyman-tips/diy-statistics"/>
    <hyperlink ref="C43" r:id="rId42" display="https://www.homeserve.com/en-us/media/new-homeserve-survey-shows-growing-number-of-homeowners-face-home-repair-emergencies/"/>
    <hyperlink ref="C44" r:id="rId43" display="https://www.nachi.org/ten-problems-hhenews.htm"/>
    <hyperlink ref="C45" r:id="rId44" display="https://www.ahs.com/home-matters/homebuyer-hub-resources-and-guides/home-maintenance-issues-statistics/"/>
    <hyperlink ref="C46" r:id="rId45" display="https://www.wtkr.com/money/consumer/dont-waste-your-money/popular-home-warranty-company-now-has-over-5k-complaints"/>
    <hyperlink ref="C48" r:id="rId46" display="https://www.thisoldhouse.com/home-finances/home-warranty-survey"/>
    <hyperlink ref="C49" r:id="rId47" display="https://homesmsp.com/2012/04/top-5-home-warranty-claims.html"/>
    <hyperlink ref="C50" r:id="rId48" display="https://worldmetrics.org/home-warranty-industry-statistics/"/>
    <hyperlink ref="C51" r:id="rId49" display="https://www.redfin.com/blog/most-common-home-inspection-problems/"/>
    <hyperlink ref="C52" r:id="rId50" display="https://www.nar.realtor/news/real-estate-news/most-common-inspection-problems-uncovered-in-new-homes"/>
    <hyperlink ref="C53" r:id="rId51" display="https://www.har.com/web/jacoblopez/blogs/146556"/>
    <hyperlink ref="C54" r:id="rId52" display="https://activerain.com/blogsview/5936195/nj-home-inspector--the-15-problems-i-find-during-almost-every-home-inspection"/>
    <hyperlink ref="C55" r:id="rId53" display="https://insightdiy.co.uk/news/us-homeowners-most-likely-to-put-off-painting-over-other-diy-tasks/10838.htm"/>
    <hyperlink ref="C56" r:id="rId54" display="https://housemaster.com/denvernorth/blog/10-most-common-problems-found"/>
    <hyperlink ref="C58" r:id="rId55" display="https://todayshomeowner.com/general/guides/diy-home-improvement-projects-by-state/"/>
    <hyperlink ref="C59" r:id="rId56" display="https://www.searchenginejournal.com/google-reveals-popular-searches/213648/"/>
    <hyperlink ref="C60" r:id="rId57" display="https://www.familyhandyman.com/list/most-popular-home-repairs-for-new-homeowners/"/>
    <hyperlink ref="C61" r:id="rId58" display="https://www.familyhandyman.com/list/15-diy-repairs-you-may-not-know-you-can-make-yourself/"/>
    <hyperlink ref="C62" r:id="rId59" display="https://www.familyhandyman.com/list/home-improvements-you-should-never-pay-for/"/>
    <hyperlink ref="C63" r:id="rId60" display="https://www.familyhandyman.com/list/home-repairs-you-can-do-yourself/"/>
    <hyperlink ref="C64" r:id="rId61" display="https://www.familyhandyman.com/list/stop-hiring-out-for-these-home-repairs/"/>
    <hyperlink ref="C65" r:id="rId62" display="https://www.bobvila.com/articles/easy-home-repairs/"/>
    <hyperlink ref="C66" r:id="rId63" display="https://www.bobvila.com/diy/quick-repair/"/>
    <hyperlink ref="C67" r:id="rId64" display="https://www.thisoldhouse.com/21017718/35-super-fast-fixes-and-easy-upgrades"/>
    <hyperlink ref="C68" r:id="rId65" display="https://www.homedepot.com/c/alp/home-improvement-ideas-diy-plumbing/dqe7-7lff"/>
    <hyperlink ref="C69" r:id="rId66" display="https://corporate.lowes.com/newsroom/press-releases/lowes-debuts-new-way-teach-millennials-how-make-basic-home-repairs-helping-homeowners-build-diy-confidence-and-save-costs-11-10-23"/>
    <hyperlink ref="C70" r:id="rId67" display="https://www.rotorooter.com/blog/plumbing/state-of-home-repair-in-2024/"/>
    <hyperlink ref="C71" r:id="rId68" display="https://hookagency.com/blog/most-searched-home-services/"/>
    <hyperlink ref="C72" r:id="rId69" display="https://www.kwrds.ai/top-keywords/Home-Improvement"/>
    <hyperlink ref="C73" r:id="rId70" display="https://www.asinsight.com/report/US/wall-tv-mount"/>
    <hyperlink ref="C74" r:id="rId71" display="https://www.diyweek.net/the-nations-most-googled-diy-questions"/>
    <hyperlink ref="C75" r:id="rId72" display="https://goodmenproject.com/featured-content/states-looking-into-home-improvements-in-2025/"/>
    <hyperlink ref="C76" r:id="rId73" display="https://www.garagecabinets.com/diy-home-repairs"/>
    <hyperlink ref="C77" r:id="rId74" display="https://www.hemlane.com/resources/rental-property-maintenance-requests/"/>
    <hyperlink ref="C78" r:id="rId75" display="https://www.hemlane.com/resources/rental-repair-resolution-time-benchmarks/"/>
    <hyperlink ref="C79" r:id="rId76" display="https://support.hemlane.com/hc/en-us/articles/13155323950221-What-types-of-repairs-does-Hemlane-coordinate-with-the-Rent-Ready-service"/>
    <hyperlink ref="C80" r:id="rId77" display="https://www.baymgmtgroup.com/blog/rental-property-repair-costs/"/>
    <hyperlink ref="C81" r:id="rId78" display="https://www.avail.com/education/articles/most-reported-tenant-maintenance-issues"/>
    <hyperlink ref="C82" r:id="rId79" display="https://www.avail.com/education/articles/wear-and-tear-what-is-fair"/>
    <hyperlink ref="C83" r:id="rId80" display="https://ipropertymanagement.com/guides/rental-property-maintenance"/>
    <hyperlink ref="C84" r:id="rId81" display="https://naahq.org/news/10-things-about-common-maintenance-work-orders"/>
    <hyperlink ref="C85" r:id="rId82" display="https://www.multifamilyinsiders.com/apartment-ideas/apartment-maintenance/10457-most-common-service-requests"/>
    <hyperlink ref="C86" r:id="rId83" display="https://oxmaint.com/blog/post/property-maintenance-requests-15-most-common-issues-and-prevention-tips"/>
    <hyperlink ref="C87" r:id="rId84" display="https://www.mapcon.com/blog/2025/06/top-maintenance-requests-and-how-to-handle-them"/>
    <hyperlink ref="C88" r:id="rId85" display="https://www.tenantcloud.com/maintenance/the-complete-guide-to-managing-rental-property-maintenance-requests"/>
    <hyperlink ref="C89" r:id="rId86" display="https://rentredi.com/blog/property-maintenance"/>
    <hyperlink ref="C90" r:id="rId87" display="https://belonghome.com/blog/7-common-rental-property-repairs"/>
    <hyperlink ref="C91" r:id="rId88" display="https://hexapm.com/apartment-maintenance-requests/"/>
    <hyperlink ref="C92" r:id="rId89" display="https://upkeep.com/learning/common-property-management-requests/"/>
    <hyperlink ref="C93" r:id="rId90" display="https://masslandlords.net/need-a-good-handyman-give-us-your-feedback-on-our-handyperson-proposal/"/>
    <hyperlink ref="C94" r:id="rId91" display="https://happy.co/resources/apartment-make-ready"/>
    <hyperlink ref="C95" r:id="rId92" display="https://help.latchel.com/s/topic/0TO5e000000h9wqGAA/latchel-analytics-property-insights-section"/>
    <hyperlink ref="C96" r:id="rId93" display="https://lula.life/articles/rental-property-maintenance-management"/>
    <hyperlink ref="C97" r:id="rId94" display="https://help.propertymeld.com/hc/en-us/articles/45827358359187-Meld-Work-Types"/>
    <hyperlink ref="C98" r:id="rId95" display="https://www.buildium.com/blog/property-maintenance-management-workflows-101/"/>
    <hyperlink ref="C99" r:id="rId96" display="https://www.turbotenant.com/property-management/rental-property-maintenance-requests/"/>
    <hyperlink ref="C100" r:id="rId97" display="https://www.landlordstudio.com/blog/rental-property-maintenance-expenses"/>
    <hyperlink ref="C101" r:id="rId98" display="https://www.tenantcloud.com/maintenance/stats-on-common-maintenance-requests"/>
    <hyperlink ref="C102" r:id="rId99" display="https://www.jturnerresearch.com/blog/brewing-data-haunted-by-negative-ratings-and-reviews"/>
    <hyperlink ref="C104" r:id="rId100" display="https://www.bestbuy.com/site/smart-home-security-services/smart-home-setup-installation/pcmcat1553538789739.c?id=pcmcat1553538789739"/>
    <hyperlink ref="C105" r:id="rId101" display="https://www.lowes.com/l/install"/>
    <hyperlink ref="C106" r:id="rId102" display="https://www.homedepot.com/services/"/>
    <hyperlink ref="C107" r:id="rId103" display="https://www.washingtontimes.com/news/2016/nov/24/handy-crowdsourced-handyman-service-will-pick-up-o/"/>
    <hyperlink ref="C108" r:id="rId104" display="https://webcf.waybackmachine.org/web/20221112055919/https://www.amazon.com/services"/>
    <hyperlink ref="C109" r:id="rId105" display="https://support.taskrabbit.com/hc/en-us/articles/360052736472-Which-Task-Categories-Should-I-Add-To-My-Profile"/>
    <hyperlink ref="C110" r:id="rId106" display="https://communityimpact.com/mckinney/business/mr-handyman-of-midwest-collin-county-finds-success-in-full-service-residential-commercial-property-repairs-maintenance/"/>
    <hyperlink ref="C111" r:id="rId107" display="https://handymanconnection.com/golden/"/>
    <hyperlink ref="C112" r:id="rId108" display="https://smb.oxfordeagle.com/article/Home-Repair-Expert-Bryan-Harmon-Explains-the-Most-Common-Handyman-Tasks-in-HelloNation/6a08955bd6b3ec3c381af7f9"/>
    <hyperlink ref="C113" r:id="rId109" display="https://www.berkeleyparentsnetwork.org/node/417311"/>
    <hyperlink ref="C114" r:id="rId110" display="https://www.bobvila.com/articles/handyman-services-list/"/>
    <hyperlink ref="C115" r:id="rId111" display="https://www.thimble.com/blog/what-are-the-most-requested-handyman-services"/>
    <hyperlink ref="C116" r:id="rId112" display="https://getjobber.com/academy/handyman/handyman-services-list/"/>
    <hyperlink ref="C117" r:id="rId113" display="https://eyeonhousing.org/2023/05/remodeling-market-index-rmi-special-question-analysis-aging-in-place/"/>
    <hyperlink ref="C118" r:id="rId114" display="https://www.fairfaxcounty.gov/familyservices/older-adults/golden-gazette/2024-04-rebuilding-together-aff-neighbors-helping-neighbors-live-in-homes-that-are-safe-and-healthy"/>
    <hyperlink ref="C119" r:id="rId115" display="https://homeserve.com/sc/plans"/>
    <hyperlink ref="C120" r:id="rId116" display="https://www.builtincolorado.com/company/frontdoor"/>
    <hyperlink ref="C121" r:id="rId117" display="https://techcrunch.com/2015/04/14/alfred-series-a/"/>
    <hyperlink ref="C123" r:id="rId118" display="https://www.taskrabbit.com/cost-guides/ceiling-fan-installation"/>
    <hyperlink ref="C124" r:id="rId119" display="https://www.homeadvisor.com/cost/heating-and-cooling/install-a-ceiling-fan/"/>
    <hyperlink ref="C125" r:id="rId120" display="https://homeguide.com/costs/faucet-installation-cost"/>
    <hyperlink ref="C126" r:id="rId121" display="https://www.fixr.com/costs/garbage-disposal-installation"/>
    <hyperlink ref="C127" r:id="rId122" display="https://www.homewyse.com/services/cost_to_install_grab_bars.html"/>
    <hyperlink ref="C128" r:id="rId123" display="https://www.thumbtack.com/pa/pittsburgh/wall-hanging-services"/>
    <hyperlink ref="C129" r:id="rId124" display="https://www.angi.com/articles/cost-replace-27-electrical-outlets.htm"/>
    <hyperlink ref="C130" r:id="rId125" display="https://www.homeserve.com/blog/cost-guide/deadbolt-installation"/>
    <hyperlink ref="C131" r:id="rId126" display="https://www.hometips.com/repair-fix/toilet-repair-costs.html"/>
    <hyperlink ref="C132" r:id="rId127" display="https://www.bobvila.com/articles/doorbell-installation-cost.md"/>
    <hyperlink ref="C133" r:id="rId128" display="https://pocketsuite.io/book/mister-ios-llc/items/smart-devices"/>
    <hyperlink ref="C134" r:id="rId129" display="https://www.mybuilder.com/handyman/price-guides/ikea-assembly-cost"/>
    <hyperlink ref="C135" r:id="rId130" display="https://new.risingsunartscentre.org/news/handyman-ceiling-fan-install-cost-guide-2026.html"/>
    <hyperlink ref="C136" r:id="rId131" display="https://contractorplus.app/resources/construction-costs/install-microwave/mesa-az"/>
    <hyperlink ref="C137" r:id="rId132" display="https://www.thimble.com/blog/what-are-the-most-requested-handyman-services"/>
    <hyperlink ref="C138" r:id="rId133" display="https://www.enrichlabs.ai/blog/handyman-marketing-complete-guide-2026"/>
    <hyperlink ref="C139" r:id="rId134" display="https://www.taskrabbit.com/locations/san-antonio/home-improvement"/>
    <hyperlink ref="C140" r:id="rId135" display="https://www.taskrabbit.com/locations/denver/home-improvement"/>
    <hyperlink ref="C141" r:id="rId136" display="https://www.housedoctors.com/austin-tx/blog/categories/handyman-services/preparing-your-home-for-austins-brutal-summer/"/>
    <hyperlink ref="C142" r:id="rId137" display="https://www.mrhandyman.com/plano/about-us/ask-a-pro/summer-home-prep-repairs-plano/"/>
    <hyperlink ref="C143" r:id="rId138" display="https://hdfoundationrepair.com/doors-windows-sticking-foundation-problems-dfw/"/>
    <hyperlink ref="C144" r:id="rId139" display="https://mrhandyman.com/cinco-ranch-south-katy-west-houston/handyman-services/exterior/fence-repair"/>
    <hyperlink ref="C145" r:id="rId140" display="https://www.thumbtack.com/tx/houston/wall-hanging-services"/>
    <hyperlink ref="C146" r:id="rId141" display="https://www.housecallpro.com/licensing/handyman/texas/"/>
    <hyperlink ref="C147" r:id="rId142" display="https://www.texasdisposal.com/blog/how-to-prepare-home-for-freeze-texas/"/>
    <hyperlink ref="C148" r:id="rId143" display="https://www.cbsnews.com/colorado/news/as-freezing-temps-move-in-pay-attention-to-exposed-pipes"/>
    <hyperlink ref="C149" r:id="rId144" display="https://www.consumerreports.org/smart-home/smart-home-tech-upgrades-to-help-sell-your-house/"/>
    <hyperlink ref="C150" r:id="rId145" display="https://www.freedoniagroup.com/smart-home-security.html"/>
    <hyperlink ref="C151" r:id="rId146" display="https://www.parksassociates.com/blogs/in-the-news/video-doorbell-adoption-rises-to-20-in-us?page=8"/>
    <hyperlink ref="C152" r:id="rId147" display="https://intercom.help/jiffy/en/articles/2203108-smart-home-install"/>
    <hyperlink ref="C153" r:id="rId148" display="https://consumeraffairs.com/homeowners/aging-in-place-home-modifications.html"/>
    <hyperlink ref="C154" r:id="rId149" display="https://origin-2.fixr.com/costs/childproofing"/>
    <hyperlink ref="C155" r:id="rId150" display="https://handymanconnection.com/ottawa/?p=742198"/>
    <hyperlink ref="C156" r:id="rId151" display="https://www.globenewswire.com/news-release/2025/01/28/3016441/0/en/Angi-Releases-2024-State-of-Home-Spending-Report.html"/>
    <hyperlink ref="C157" r:id="rId152" display="https://ahs.com/home-matters/repair-maintenance/how-to-troubleshoot-a-garage-door-keypad"/>
    <hyperlink ref="C158" r:id="rId153" display="https://coverager.com/stand-and-moen-launch-smart-water-leak-program-with-insurance-discounts/"/>
    <hyperlink ref="C159" r:id="rId154" display="https://community.thumbtack.com/discussion/comment/6719/"/>
    <hyperlink ref="C160" r:id="rId155" display="https://synced.sg/pages/smart-home-statistics"/>
    <hyperlink ref="C161" r:id="rId156" display="https://selector.kurlon.com/live/baby-proofing-service-cost-2026-15984.html"/>
    <hyperlink ref="C162" r:id="rId157" display="https://marketkeep.com/seo-keywords-for-handyman-services/"/>
    <hyperlink ref="C163" r:id="rId158" display="https://themortgagereports.com/57788/how-home-maintenance-savvy-are-you-study-shows-most-americans-need-serious-help"/>
    <hyperlink ref="C164" r:id="rId159" display="https://www.bigrentz.com/blog/home-maintenance-survey"/>
    <hyperlink ref="C165" r:id="rId160" display="https://www.loopexdigital.com/blog/plumbing-keywords-seo-ppc"/>
    <hyperlink ref="C166" r:id="rId161" display="https://emulent.com/resources/plumbing-seo-keywords-that-increase-service-calls"/>
    <hyperlink ref="C167" r:id="rId162" display="https://www.seodata.dev/keyword/install-nest-smart-thermostat"/>
    <hyperlink ref="C168" r:id="rId163" display="https://ifamagazine.com/diy-britain-10-home-repairs-brits-struggle-with-most-from-clogged-toilets-to-changing-bulbs-2/"/>
    <hyperlink ref="C169" r:id="rId164" display="https://hookagency.com/blog/most-searched-home-services/"/>
    <hyperlink ref="C170" r:id="rId165" display="https://www.rankhero.com/keywords/handyman-services"/>
    <hyperlink ref="C171" r:id="rId166" display="https://www.asinsight.com/report/US/tv-wall-mount"/>
    <hyperlink ref="C172" r:id="rId167" display="https://products.ecomcrew.com/search-term/ceiling%20fans%20without%20lights"/>
    <hyperlink ref="C173" r:id="rId168" display="https://seojuice.io/keyword-research/real-estate/home-services/US"/>
    <hyperlink ref="C174" r:id="rId169" display="https://www.taskrabbit.com/m/handyman"/>
    <hyperlink ref="C175" r:id="rId170" display="https://www.airtasker.com/au/trends/popular/furniture-assembly/"/>
    <hyperlink ref="C176" r:id="rId171" display="https://hookagency.com/blog/home-services-google-usage-statistic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7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3" min="3" style="0" width="20"/>
    <col collapsed="false" customWidth="true" hidden="false" outlineLevel="0" max="4" min="4" style="0" width="52"/>
  </cols>
  <sheetData>
    <row r="1" customFormat="false" ht="15" hidden="false" customHeight="false" outlineLevel="0" collapsed="false">
      <c r="A1" s="1" t="s">
        <v>2328</v>
      </c>
      <c r="B1" s="1" t="s">
        <v>2329</v>
      </c>
      <c r="C1" s="1" t="s">
        <v>2330</v>
      </c>
      <c r="D1" s="1" t="s">
        <v>2331</v>
      </c>
    </row>
    <row r="2" customFormat="false" ht="15" hidden="false" customHeight="false" outlineLevel="0" collapsed="false">
      <c r="A2" s="10" t="s">
        <v>38</v>
      </c>
      <c r="B2" s="10" t="s">
        <v>2332</v>
      </c>
      <c r="C2" s="10" t="s">
        <v>1949</v>
      </c>
      <c r="D2" s="10" t="s">
        <v>33</v>
      </c>
    </row>
    <row r="3" customFormat="false" ht="15" hidden="false" customHeight="false" outlineLevel="0" collapsed="false">
      <c r="A3" s="10" t="s">
        <v>2333</v>
      </c>
      <c r="B3" s="10" t="s">
        <v>2334</v>
      </c>
      <c r="C3" s="10" t="s">
        <v>2335</v>
      </c>
      <c r="D3" s="10" t="s">
        <v>93</v>
      </c>
    </row>
    <row r="4" customFormat="false" ht="15" hidden="false" customHeight="false" outlineLevel="0" collapsed="false">
      <c r="A4" s="10" t="s">
        <v>105</v>
      </c>
      <c r="B4" s="10" t="s">
        <v>2336</v>
      </c>
      <c r="C4" s="10" t="s">
        <v>1949</v>
      </c>
      <c r="D4" s="10" t="s">
        <v>105</v>
      </c>
    </row>
    <row r="5" customFormat="false" ht="15" hidden="false" customHeight="false" outlineLevel="0" collapsed="false">
      <c r="A5" s="10" t="s">
        <v>2337</v>
      </c>
      <c r="B5" s="10" t="s">
        <v>2338</v>
      </c>
      <c r="C5" s="10" t="s">
        <v>2335</v>
      </c>
      <c r="D5" s="10" t="s">
        <v>57</v>
      </c>
    </row>
    <row r="6" customFormat="false" ht="15" hidden="false" customHeight="false" outlineLevel="0" collapsed="false">
      <c r="A6" s="10" t="s">
        <v>57</v>
      </c>
      <c r="B6" s="10" t="s">
        <v>2339</v>
      </c>
      <c r="C6" s="10" t="s">
        <v>1949</v>
      </c>
      <c r="D6" s="10" t="s">
        <v>57</v>
      </c>
    </row>
    <row r="7" customFormat="false" ht="15" hidden="false" customHeight="false" outlineLevel="0" collapsed="false">
      <c r="A7" s="10" t="s">
        <v>221</v>
      </c>
      <c r="B7" s="10" t="s">
        <v>2340</v>
      </c>
      <c r="C7" s="10" t="s">
        <v>1949</v>
      </c>
      <c r="D7" s="10" t="s">
        <v>221</v>
      </c>
    </row>
    <row r="8" customFormat="false" ht="15" hidden="false" customHeight="false" outlineLevel="0" collapsed="false">
      <c r="A8" s="10" t="s">
        <v>2341</v>
      </c>
      <c r="B8" s="10" t="s">
        <v>2342</v>
      </c>
      <c r="C8" s="10" t="s">
        <v>2335</v>
      </c>
      <c r="D8" s="10" t="s">
        <v>123</v>
      </c>
    </row>
    <row r="9" customFormat="false" ht="15" hidden="false" customHeight="false" outlineLevel="0" collapsed="false">
      <c r="A9" s="10" t="s">
        <v>2343</v>
      </c>
      <c r="B9" s="10" t="s">
        <v>2344</v>
      </c>
      <c r="C9" s="10" t="s">
        <v>2335</v>
      </c>
      <c r="D9" s="10" t="s">
        <v>52</v>
      </c>
    </row>
    <row r="10" customFormat="false" ht="15" hidden="false" customHeight="false" outlineLevel="0" collapsed="false">
      <c r="A10" s="10" t="s">
        <v>2345</v>
      </c>
      <c r="B10" s="10" t="s">
        <v>2346</v>
      </c>
      <c r="C10" s="10" t="s">
        <v>2335</v>
      </c>
      <c r="D10" s="10" t="s">
        <v>110</v>
      </c>
    </row>
    <row r="11" customFormat="false" ht="15" hidden="false" customHeight="false" outlineLevel="0" collapsed="false">
      <c r="A11" s="10" t="s">
        <v>2347</v>
      </c>
      <c r="B11" s="10" t="s">
        <v>2348</v>
      </c>
      <c r="C11" s="10" t="s">
        <v>2335</v>
      </c>
      <c r="D11" s="10" t="s">
        <v>97</v>
      </c>
    </row>
    <row r="12" customFormat="false" ht="15" hidden="false" customHeight="false" outlineLevel="0" collapsed="false">
      <c r="A12" s="10" t="s">
        <v>2349</v>
      </c>
      <c r="B12" s="10" t="s">
        <v>2350</v>
      </c>
      <c r="C12" s="10" t="s">
        <v>2335</v>
      </c>
      <c r="D12" s="10" t="s">
        <v>243</v>
      </c>
    </row>
    <row r="13" customFormat="false" ht="15" hidden="false" customHeight="false" outlineLevel="0" collapsed="false">
      <c r="A13" s="10" t="s">
        <v>2351</v>
      </c>
      <c r="B13" s="10" t="s">
        <v>2352</v>
      </c>
      <c r="C13" s="10" t="s">
        <v>2335</v>
      </c>
      <c r="D13" s="10" t="s">
        <v>110</v>
      </c>
    </row>
    <row r="14" customFormat="false" ht="15" hidden="false" customHeight="false" outlineLevel="0" collapsed="false">
      <c r="A14" s="10" t="s">
        <v>2353</v>
      </c>
      <c r="B14" s="10" t="s">
        <v>2354</v>
      </c>
      <c r="C14" s="10" t="s">
        <v>2335</v>
      </c>
      <c r="D14" s="10" t="s">
        <v>298</v>
      </c>
    </row>
    <row r="15" customFormat="false" ht="15" hidden="false" customHeight="false" outlineLevel="0" collapsed="false">
      <c r="A15" s="10" t="s">
        <v>110</v>
      </c>
      <c r="B15" s="10" t="s">
        <v>2355</v>
      </c>
      <c r="C15" s="10" t="s">
        <v>1949</v>
      </c>
      <c r="D15" s="10" t="s">
        <v>110</v>
      </c>
    </row>
    <row r="16" customFormat="false" ht="15" hidden="false" customHeight="false" outlineLevel="0" collapsed="false">
      <c r="A16" s="10" t="s">
        <v>2356</v>
      </c>
      <c r="B16" s="10" t="s">
        <v>2357</v>
      </c>
      <c r="C16" s="10" t="s">
        <v>2335</v>
      </c>
      <c r="D16" s="10" t="s">
        <v>205</v>
      </c>
    </row>
    <row r="17" customFormat="false" ht="15" hidden="false" customHeight="false" outlineLevel="0" collapsed="false">
      <c r="A17" s="10" t="s">
        <v>2358</v>
      </c>
      <c r="B17" s="10" t="s">
        <v>2359</v>
      </c>
      <c r="C17" s="10" t="s">
        <v>2335</v>
      </c>
      <c r="D17" s="10" t="s">
        <v>118</v>
      </c>
    </row>
    <row r="18" customFormat="false" ht="15" hidden="false" customHeight="false" outlineLevel="0" collapsed="false">
      <c r="A18" s="10" t="s">
        <v>92</v>
      </c>
      <c r="B18" s="10" t="s">
        <v>2360</v>
      </c>
      <c r="C18" s="10" t="s">
        <v>1949</v>
      </c>
      <c r="D18" s="10" t="s">
        <v>89</v>
      </c>
    </row>
    <row r="19" customFormat="false" ht="15" hidden="false" customHeight="false" outlineLevel="0" collapsed="false">
      <c r="A19" s="10" t="s">
        <v>2361</v>
      </c>
      <c r="B19" s="10" t="s">
        <v>2362</v>
      </c>
      <c r="C19" s="10" t="s">
        <v>2335</v>
      </c>
      <c r="D19" s="10" t="s">
        <v>274</v>
      </c>
    </row>
    <row r="20" customFormat="false" ht="15" hidden="false" customHeight="false" outlineLevel="0" collapsed="false">
      <c r="A20" s="10" t="s">
        <v>2363</v>
      </c>
      <c r="B20" s="10" t="s">
        <v>2364</v>
      </c>
      <c r="C20" s="10" t="s">
        <v>2335</v>
      </c>
      <c r="D20" s="10" t="s">
        <v>378</v>
      </c>
    </row>
    <row r="21" customFormat="false" ht="15" hidden="false" customHeight="false" outlineLevel="0" collapsed="false">
      <c r="A21" s="10" t="s">
        <v>2365</v>
      </c>
      <c r="B21" s="10" t="s">
        <v>2366</v>
      </c>
      <c r="C21" s="10" t="s">
        <v>2335</v>
      </c>
      <c r="D21" s="10" t="s">
        <v>342</v>
      </c>
    </row>
    <row r="22" customFormat="false" ht="15" hidden="false" customHeight="false" outlineLevel="0" collapsed="false">
      <c r="A22" s="10" t="s">
        <v>2367</v>
      </c>
      <c r="B22" s="10" t="s">
        <v>2368</v>
      </c>
      <c r="C22" s="10" t="s">
        <v>2335</v>
      </c>
      <c r="D22" s="10" t="s">
        <v>15</v>
      </c>
    </row>
    <row r="23" customFormat="false" ht="15" hidden="false" customHeight="false" outlineLevel="0" collapsed="false">
      <c r="A23" s="10" t="s">
        <v>2369</v>
      </c>
      <c r="B23" s="10" t="s">
        <v>2370</v>
      </c>
      <c r="C23" s="10" t="s">
        <v>2335</v>
      </c>
      <c r="D23" s="10" t="s">
        <v>131</v>
      </c>
    </row>
    <row r="24" customFormat="false" ht="15" hidden="false" customHeight="false" outlineLevel="0" collapsed="false">
      <c r="A24" s="10" t="s">
        <v>2371</v>
      </c>
      <c r="B24" s="10" t="s">
        <v>2372</v>
      </c>
      <c r="C24" s="10" t="s">
        <v>2335</v>
      </c>
      <c r="D24" s="10" t="s">
        <v>39</v>
      </c>
    </row>
    <row r="25" customFormat="false" ht="15" hidden="false" customHeight="false" outlineLevel="0" collapsed="false">
      <c r="A25" s="10" t="s">
        <v>2373</v>
      </c>
      <c r="B25" s="10" t="s">
        <v>2374</v>
      </c>
      <c r="C25" s="10" t="s">
        <v>2335</v>
      </c>
      <c r="D25" s="10" t="s">
        <v>334</v>
      </c>
    </row>
    <row r="26" customFormat="false" ht="15" hidden="false" customHeight="false" outlineLevel="0" collapsed="false">
      <c r="A26" s="10" t="s">
        <v>2375</v>
      </c>
      <c r="B26" s="10" t="s">
        <v>2376</v>
      </c>
      <c r="C26" s="10" t="s">
        <v>2335</v>
      </c>
      <c r="D26" s="10" t="s">
        <v>236</v>
      </c>
    </row>
    <row r="27" customFormat="false" ht="15" hidden="false" customHeight="false" outlineLevel="0" collapsed="false">
      <c r="A27" s="10" t="s">
        <v>2377</v>
      </c>
      <c r="B27" s="10" t="s">
        <v>2378</v>
      </c>
      <c r="C27" s="10" t="s">
        <v>2335</v>
      </c>
      <c r="D27" s="10" t="s">
        <v>69</v>
      </c>
    </row>
    <row r="28" customFormat="false" ht="15" hidden="false" customHeight="false" outlineLevel="0" collapsed="false">
      <c r="A28" s="10" t="s">
        <v>2379</v>
      </c>
      <c r="B28" s="10" t="s">
        <v>2380</v>
      </c>
      <c r="C28" s="10" t="s">
        <v>2335</v>
      </c>
      <c r="D28" s="10" t="s">
        <v>198</v>
      </c>
    </row>
    <row r="29" customFormat="false" ht="15" hidden="false" customHeight="false" outlineLevel="0" collapsed="false">
      <c r="A29" s="10" t="s">
        <v>2381</v>
      </c>
      <c r="B29" s="10" t="s">
        <v>2382</v>
      </c>
      <c r="C29" s="10" t="s">
        <v>2335</v>
      </c>
      <c r="D29" s="10" t="s">
        <v>327</v>
      </c>
    </row>
    <row r="30" customFormat="false" ht="15" hidden="false" customHeight="false" outlineLevel="0" collapsed="false">
      <c r="A30" s="10" t="s">
        <v>2383</v>
      </c>
      <c r="B30" s="10" t="s">
        <v>2384</v>
      </c>
      <c r="C30" s="10" t="s">
        <v>2335</v>
      </c>
      <c r="D30" s="10" t="s">
        <v>131</v>
      </c>
    </row>
    <row r="31" customFormat="false" ht="15" hidden="false" customHeight="false" outlineLevel="0" collapsed="false">
      <c r="A31" s="10" t="s">
        <v>2385</v>
      </c>
      <c r="B31" s="10" t="s">
        <v>2386</v>
      </c>
      <c r="C31" s="10" t="s">
        <v>2335</v>
      </c>
      <c r="D31" s="10" t="s">
        <v>127</v>
      </c>
    </row>
    <row r="32" customFormat="false" ht="15" hidden="false" customHeight="false" outlineLevel="0" collapsed="false">
      <c r="A32" s="10" t="s">
        <v>2387</v>
      </c>
      <c r="B32" s="10" t="s">
        <v>2388</v>
      </c>
      <c r="C32" s="10" t="s">
        <v>2335</v>
      </c>
      <c r="D32" s="10" t="s">
        <v>73</v>
      </c>
    </row>
    <row r="33" customFormat="false" ht="15" hidden="false" customHeight="false" outlineLevel="0" collapsed="false">
      <c r="A33" s="10" t="s">
        <v>2389</v>
      </c>
      <c r="B33" s="10" t="s">
        <v>2390</v>
      </c>
      <c r="C33" s="10" t="s">
        <v>2335</v>
      </c>
      <c r="D33" s="10" t="s">
        <v>283</v>
      </c>
    </row>
    <row r="34" customFormat="false" ht="15" hidden="false" customHeight="false" outlineLevel="0" collapsed="false">
      <c r="A34" s="10" t="s">
        <v>130</v>
      </c>
      <c r="B34" s="10" t="s">
        <v>2391</v>
      </c>
      <c r="C34" s="10" t="s">
        <v>1949</v>
      </c>
      <c r="D34" s="10" t="s">
        <v>127</v>
      </c>
    </row>
    <row r="35" customFormat="false" ht="15" hidden="false" customHeight="false" outlineLevel="0" collapsed="false">
      <c r="A35" s="10" t="s">
        <v>2392</v>
      </c>
      <c r="B35" s="10" t="s">
        <v>2393</v>
      </c>
      <c r="C35" s="10" t="s">
        <v>2335</v>
      </c>
      <c r="D35" s="10" t="s">
        <v>283</v>
      </c>
    </row>
    <row r="36" customFormat="false" ht="15" hidden="false" customHeight="false" outlineLevel="0" collapsed="false">
      <c r="A36" s="10" t="s">
        <v>2394</v>
      </c>
      <c r="B36" s="10" t="s">
        <v>2395</v>
      </c>
      <c r="C36" s="10" t="s">
        <v>2335</v>
      </c>
      <c r="D36" s="10" t="s">
        <v>139</v>
      </c>
    </row>
    <row r="37" customFormat="false" ht="15" hidden="false" customHeight="false" outlineLevel="0" collapsed="false">
      <c r="A37" s="10" t="s">
        <v>2396</v>
      </c>
      <c r="B37" s="10" t="s">
        <v>2397</v>
      </c>
      <c r="C37" s="10" t="s">
        <v>2335</v>
      </c>
      <c r="D37" s="10" t="s">
        <v>312</v>
      </c>
    </row>
    <row r="38" customFormat="false" ht="15" hidden="false" customHeight="false" outlineLevel="0" collapsed="false">
      <c r="A38" s="10" t="s">
        <v>277</v>
      </c>
      <c r="B38" s="10" t="s">
        <v>2398</v>
      </c>
      <c r="C38" s="10" t="s">
        <v>1949</v>
      </c>
      <c r="D38" s="10" t="s">
        <v>274</v>
      </c>
    </row>
    <row r="39" customFormat="false" ht="15" hidden="false" customHeight="false" outlineLevel="0" collapsed="false">
      <c r="A39" s="10" t="s">
        <v>2399</v>
      </c>
      <c r="B39" s="10" t="s">
        <v>2400</v>
      </c>
      <c r="C39" s="10" t="s">
        <v>2335</v>
      </c>
      <c r="D39" s="10" t="s">
        <v>208</v>
      </c>
    </row>
    <row r="40" customFormat="false" ht="15" hidden="false" customHeight="false" outlineLevel="0" collapsed="false">
      <c r="A40" s="10" t="s">
        <v>2401</v>
      </c>
      <c r="B40" s="10" t="s">
        <v>2402</v>
      </c>
      <c r="C40" s="10" t="s">
        <v>2335</v>
      </c>
      <c r="D40" s="10" t="s">
        <v>212</v>
      </c>
    </row>
    <row r="41" customFormat="false" ht="15" hidden="false" customHeight="false" outlineLevel="0" collapsed="false">
      <c r="A41" s="10" t="s">
        <v>2403</v>
      </c>
      <c r="B41" s="10" t="s">
        <v>2404</v>
      </c>
      <c r="C41" s="10" t="s">
        <v>2335</v>
      </c>
      <c r="D41" s="10" t="s">
        <v>86</v>
      </c>
    </row>
    <row r="42" customFormat="false" ht="15" hidden="false" customHeight="false" outlineLevel="0" collapsed="false">
      <c r="A42" s="10" t="s">
        <v>29</v>
      </c>
      <c r="B42" s="10" t="s">
        <v>2405</v>
      </c>
      <c r="C42" s="10" t="s">
        <v>1949</v>
      </c>
      <c r="D42" s="10" t="s">
        <v>29</v>
      </c>
    </row>
    <row r="43" customFormat="false" ht="15" hidden="false" customHeight="false" outlineLevel="0" collapsed="false">
      <c r="A43" s="10" t="s">
        <v>2406</v>
      </c>
      <c r="B43" s="10" t="s">
        <v>2407</v>
      </c>
      <c r="C43" s="10" t="s">
        <v>2335</v>
      </c>
      <c r="D43" s="10" t="s">
        <v>29</v>
      </c>
    </row>
    <row r="44" customFormat="false" ht="15" hidden="false" customHeight="false" outlineLevel="0" collapsed="false">
      <c r="A44" s="10" t="s">
        <v>2408</v>
      </c>
      <c r="B44" s="10" t="s">
        <v>2409</v>
      </c>
      <c r="C44" s="10" t="s">
        <v>2335</v>
      </c>
      <c r="D44" s="10" t="s">
        <v>105</v>
      </c>
    </row>
    <row r="45" customFormat="false" ht="15" hidden="false" customHeight="false" outlineLevel="0" collapsed="false">
      <c r="A45" s="10" t="s">
        <v>2410</v>
      </c>
      <c r="B45" s="10" t="s">
        <v>2411</v>
      </c>
      <c r="C45" s="10" t="s">
        <v>2335</v>
      </c>
      <c r="D45" s="10" t="s">
        <v>43</v>
      </c>
    </row>
    <row r="46" customFormat="false" ht="15" hidden="false" customHeight="false" outlineLevel="0" collapsed="false">
      <c r="A46" s="10" t="s">
        <v>28</v>
      </c>
      <c r="B46" s="10" t="s">
        <v>2412</v>
      </c>
      <c r="C46" s="10" t="s">
        <v>1949</v>
      </c>
      <c r="D46" s="10" t="s">
        <v>22</v>
      </c>
    </row>
    <row r="47" customFormat="false" ht="15" hidden="false" customHeight="false" outlineLevel="0" collapsed="false">
      <c r="A47" s="10" t="s">
        <v>122</v>
      </c>
      <c r="B47" s="10" t="s">
        <v>2413</v>
      </c>
      <c r="C47" s="10" t="s">
        <v>1949</v>
      </c>
      <c r="D47" s="10" t="s">
        <v>118</v>
      </c>
    </row>
    <row r="48" customFormat="false" ht="15" hidden="false" customHeight="false" outlineLevel="0" collapsed="false">
      <c r="A48" s="10" t="s">
        <v>43</v>
      </c>
      <c r="B48" s="10" t="s">
        <v>2414</v>
      </c>
      <c r="C48" s="10" t="s">
        <v>1949</v>
      </c>
      <c r="D48" s="10" t="s">
        <v>43</v>
      </c>
    </row>
    <row r="49" customFormat="false" ht="15" hidden="false" customHeight="false" outlineLevel="0" collapsed="false">
      <c r="A49" s="10" t="s">
        <v>2415</v>
      </c>
      <c r="B49" s="10" t="s">
        <v>2416</v>
      </c>
      <c r="C49" s="10" t="s">
        <v>2335</v>
      </c>
      <c r="D49" s="10" t="s">
        <v>167</v>
      </c>
    </row>
    <row r="50" customFormat="false" ht="15" hidden="false" customHeight="false" outlineLevel="0" collapsed="false">
      <c r="A50" s="10" t="s">
        <v>2417</v>
      </c>
      <c r="B50" s="10" t="s">
        <v>2418</v>
      </c>
      <c r="C50" s="10" t="s">
        <v>2335</v>
      </c>
      <c r="D50" s="10" t="s">
        <v>191</v>
      </c>
    </row>
    <row r="51" customFormat="false" ht="15" hidden="false" customHeight="false" outlineLevel="0" collapsed="false">
      <c r="A51" s="10" t="s">
        <v>2419</v>
      </c>
      <c r="B51" s="10" t="s">
        <v>2420</v>
      </c>
      <c r="C51" s="10" t="s">
        <v>2335</v>
      </c>
      <c r="D51" s="10" t="s">
        <v>155</v>
      </c>
    </row>
    <row r="52" customFormat="false" ht="15" hidden="false" customHeight="false" outlineLevel="0" collapsed="false">
      <c r="A52" s="10" t="s">
        <v>2421</v>
      </c>
      <c r="B52" s="10" t="s">
        <v>2422</v>
      </c>
      <c r="C52" s="10" t="s">
        <v>2335</v>
      </c>
      <c r="D52" s="10" t="s">
        <v>101</v>
      </c>
    </row>
    <row r="53" customFormat="false" ht="15" hidden="false" customHeight="false" outlineLevel="0" collapsed="false">
      <c r="A53" s="10" t="s">
        <v>2423</v>
      </c>
      <c r="B53" s="10" t="s">
        <v>2424</v>
      </c>
      <c r="C53" s="10" t="s">
        <v>2335</v>
      </c>
      <c r="D53" s="10" t="s">
        <v>135</v>
      </c>
    </row>
    <row r="54" customFormat="false" ht="15" hidden="false" customHeight="false" outlineLevel="0" collapsed="false">
      <c r="A54" s="10" t="s">
        <v>2425</v>
      </c>
      <c r="B54" s="10" t="s">
        <v>2426</v>
      </c>
      <c r="C54" s="10" t="s">
        <v>2335</v>
      </c>
      <c r="D54" s="10" t="s">
        <v>308</v>
      </c>
    </row>
    <row r="55" customFormat="false" ht="15" hidden="false" customHeight="false" outlineLevel="0" collapsed="false">
      <c r="A55" s="10" t="s">
        <v>2427</v>
      </c>
      <c r="B55" s="10" t="s">
        <v>2428</v>
      </c>
      <c r="C55" s="10" t="s">
        <v>2335</v>
      </c>
      <c r="D55" s="10"/>
    </row>
    <row r="56" customFormat="false" ht="15" hidden="false" customHeight="false" outlineLevel="0" collapsed="false">
      <c r="A56" s="10" t="s">
        <v>2429</v>
      </c>
      <c r="B56" s="10" t="s">
        <v>2430</v>
      </c>
      <c r="C56" s="10" t="s">
        <v>2335</v>
      </c>
      <c r="D56" s="10"/>
    </row>
    <row r="57" customFormat="false" ht="15" hidden="false" customHeight="false" outlineLevel="0" collapsed="false">
      <c r="A57" s="10" t="s">
        <v>2431</v>
      </c>
      <c r="B57" s="10" t="s">
        <v>2432</v>
      </c>
      <c r="C57" s="10" t="s">
        <v>2335</v>
      </c>
      <c r="D57" s="10" t="s">
        <v>390</v>
      </c>
    </row>
    <row r="58" customFormat="false" ht="15" hidden="false" customHeight="false" outlineLevel="0" collapsed="false">
      <c r="A58" s="10" t="s">
        <v>2433</v>
      </c>
      <c r="B58" s="10" t="s">
        <v>2434</v>
      </c>
      <c r="C58" s="10" t="s">
        <v>2335</v>
      </c>
      <c r="D58" s="10" t="s">
        <v>390</v>
      </c>
    </row>
    <row r="59" customFormat="false" ht="15" hidden="false" customHeight="false" outlineLevel="0" collapsed="false">
      <c r="A59" s="10" t="s">
        <v>2435</v>
      </c>
      <c r="B59" s="10" t="s">
        <v>2436</v>
      </c>
      <c r="C59" s="10" t="s">
        <v>2335</v>
      </c>
      <c r="D59" s="10" t="s">
        <v>251</v>
      </c>
    </row>
    <row r="60" customFormat="false" ht="15" hidden="false" customHeight="false" outlineLevel="0" collapsed="false">
      <c r="A60" s="10" t="s">
        <v>2437</v>
      </c>
      <c r="B60" s="10" t="s">
        <v>2438</v>
      </c>
      <c r="C60" s="10" t="s">
        <v>2335</v>
      </c>
      <c r="D60" s="10" t="s">
        <v>131</v>
      </c>
    </row>
    <row r="61" customFormat="false" ht="15" hidden="false" customHeight="false" outlineLevel="0" collapsed="false">
      <c r="A61" s="10" t="s">
        <v>2439</v>
      </c>
      <c r="B61" s="10" t="s">
        <v>2440</v>
      </c>
      <c r="C61" s="10" t="s">
        <v>2335</v>
      </c>
      <c r="D61" s="10" t="s">
        <v>258</v>
      </c>
    </row>
    <row r="62" customFormat="false" ht="15" hidden="false" customHeight="false" outlineLevel="0" collapsed="false">
      <c r="A62" s="10" t="s">
        <v>2441</v>
      </c>
      <c r="B62" s="10" t="s">
        <v>2442</v>
      </c>
      <c r="C62" s="10" t="s">
        <v>2335</v>
      </c>
      <c r="D62" s="10" t="s">
        <v>82</v>
      </c>
    </row>
    <row r="63" customFormat="false" ht="15" hidden="false" customHeight="false" outlineLevel="0" collapsed="false">
      <c r="A63" s="10" t="s">
        <v>305</v>
      </c>
      <c r="B63" s="10" t="s">
        <v>2443</v>
      </c>
      <c r="C63" s="10" t="s">
        <v>1949</v>
      </c>
      <c r="D63" s="10" t="s">
        <v>305</v>
      </c>
    </row>
    <row r="64" customFormat="false" ht="15" hidden="false" customHeight="false" outlineLevel="0" collapsed="false">
      <c r="A64" s="10" t="s">
        <v>280</v>
      </c>
      <c r="B64" s="10" t="s">
        <v>2444</v>
      </c>
      <c r="C64" s="10" t="s">
        <v>1949</v>
      </c>
      <c r="D64" s="10" t="s">
        <v>280</v>
      </c>
    </row>
    <row r="65" customFormat="false" ht="15" hidden="false" customHeight="false" outlineLevel="0" collapsed="false">
      <c r="A65" s="10" t="s">
        <v>369</v>
      </c>
      <c r="B65" s="10" t="s">
        <v>2445</v>
      </c>
      <c r="C65" s="10" t="s">
        <v>1949</v>
      </c>
      <c r="D65" s="10" t="s">
        <v>366</v>
      </c>
    </row>
    <row r="66" customFormat="false" ht="15" hidden="false" customHeight="false" outlineLevel="0" collapsed="false">
      <c r="A66" s="10" t="s">
        <v>2446</v>
      </c>
      <c r="B66" s="10" t="s">
        <v>2447</v>
      </c>
      <c r="C66" s="10" t="s">
        <v>2335</v>
      </c>
      <c r="D66" s="10" t="s">
        <v>305</v>
      </c>
    </row>
    <row r="67" customFormat="false" ht="15" hidden="false" customHeight="false" outlineLevel="0" collapsed="false">
      <c r="A67" s="10" t="s">
        <v>2448</v>
      </c>
      <c r="B67" s="10" t="s">
        <v>2449</v>
      </c>
      <c r="C67" s="10" t="s">
        <v>2335</v>
      </c>
      <c r="D67" s="10" t="s">
        <v>82</v>
      </c>
    </row>
    <row r="68" customFormat="false" ht="15" hidden="false" customHeight="false" outlineLevel="0" collapsed="false">
      <c r="A68" s="10" t="s">
        <v>2450</v>
      </c>
      <c r="B68" s="10" t="s">
        <v>2451</v>
      </c>
      <c r="C68" s="10" t="s">
        <v>2335</v>
      </c>
      <c r="D68" s="10" t="s">
        <v>82</v>
      </c>
    </row>
    <row r="69" customFormat="false" ht="15" hidden="false" customHeight="false" outlineLevel="0" collapsed="false">
      <c r="A69" s="10" t="s">
        <v>2452</v>
      </c>
      <c r="B69" s="10" t="s">
        <v>2453</v>
      </c>
      <c r="C69" s="10" t="s">
        <v>2335</v>
      </c>
      <c r="D69" s="10" t="s">
        <v>370</v>
      </c>
    </row>
    <row r="70" customFormat="false" ht="15" hidden="false" customHeight="false" outlineLevel="0" collapsed="false">
      <c r="A70" s="10" t="s">
        <v>365</v>
      </c>
      <c r="B70" s="10" t="s">
        <v>2454</v>
      </c>
      <c r="C70" s="10" t="s">
        <v>1949</v>
      </c>
      <c r="D70" s="10" t="s">
        <v>362</v>
      </c>
    </row>
    <row r="71" customFormat="false" ht="15" hidden="false" customHeight="false" outlineLevel="0" collapsed="false">
      <c r="A71" s="10" t="s">
        <v>2455</v>
      </c>
      <c r="B71" s="10" t="s">
        <v>2456</v>
      </c>
      <c r="C71" s="10" t="s">
        <v>2335</v>
      </c>
      <c r="D71" s="10" t="s">
        <v>106</v>
      </c>
    </row>
    <row r="72" customFormat="false" ht="15" hidden="false" customHeight="false" outlineLevel="0" collapsed="false">
      <c r="A72" s="10" t="s">
        <v>131</v>
      </c>
      <c r="B72" s="10" t="s">
        <v>2457</v>
      </c>
      <c r="C72" s="10" t="s">
        <v>1949</v>
      </c>
      <c r="D72" s="10" t="s">
        <v>131</v>
      </c>
    </row>
    <row r="73" customFormat="false" ht="15" hidden="false" customHeight="false" outlineLevel="0" collapsed="false">
      <c r="A73" s="10" t="s">
        <v>404</v>
      </c>
      <c r="B73" s="10" t="s">
        <v>2458</v>
      </c>
      <c r="C73" s="10" t="s">
        <v>1949</v>
      </c>
      <c r="D73" s="10" t="s">
        <v>401</v>
      </c>
    </row>
    <row r="74" customFormat="false" ht="15" hidden="false" customHeight="false" outlineLevel="0" collapsed="false">
      <c r="A74" s="10" t="s">
        <v>154</v>
      </c>
      <c r="B74" s="10" t="s">
        <v>2459</v>
      </c>
      <c r="C74" s="10" t="s">
        <v>1949</v>
      </c>
      <c r="D74" s="10" t="s">
        <v>151</v>
      </c>
    </row>
    <row r="75" customFormat="false" ht="15" hidden="false" customHeight="false" outlineLevel="0" collapsed="false">
      <c r="A75" s="10" t="s">
        <v>2460</v>
      </c>
      <c r="B75" s="10" t="s">
        <v>2461</v>
      </c>
      <c r="C75" s="10" t="s">
        <v>2335</v>
      </c>
      <c r="D75" s="10" t="s">
        <v>342</v>
      </c>
    </row>
    <row r="76" customFormat="false" ht="15" hidden="false" customHeight="false" outlineLevel="0" collapsed="false">
      <c r="A76" s="10" t="s">
        <v>2462</v>
      </c>
      <c r="B76" s="10" t="s">
        <v>2463</v>
      </c>
      <c r="C76" s="10" t="s">
        <v>2335</v>
      </c>
      <c r="D76" s="10" t="s">
        <v>195</v>
      </c>
    </row>
    <row r="77" customFormat="false" ht="15" hidden="false" customHeight="false" outlineLevel="0" collapsed="false">
      <c r="A77" s="10" t="s">
        <v>2464</v>
      </c>
      <c r="B77" s="10" t="s">
        <v>2465</v>
      </c>
      <c r="C77" s="10" t="s">
        <v>2335</v>
      </c>
      <c r="D77" s="10" t="s">
        <v>319</v>
      </c>
    </row>
    <row r="78" customFormat="false" ht="15" hidden="false" customHeight="false" outlineLevel="0" collapsed="false">
      <c r="A78" s="10" t="s">
        <v>2466</v>
      </c>
      <c r="B78" s="10" t="s">
        <v>2467</v>
      </c>
      <c r="C78" s="10" t="s">
        <v>2335</v>
      </c>
      <c r="D78" s="10" t="s">
        <v>159</v>
      </c>
    </row>
    <row r="79" customFormat="false" ht="15" hidden="false" customHeight="false" outlineLevel="0" collapsed="false">
      <c r="A79" s="10" t="s">
        <v>2468</v>
      </c>
      <c r="B79" s="10" t="s">
        <v>2469</v>
      </c>
      <c r="C79" s="10" t="s">
        <v>2335</v>
      </c>
      <c r="D79" s="10" t="s">
        <v>110</v>
      </c>
    </row>
    <row r="80" customFormat="false" ht="15" hidden="false" customHeight="false" outlineLevel="0" collapsed="false">
      <c r="A80" s="10" t="s">
        <v>2470</v>
      </c>
      <c r="B80" s="10" t="s">
        <v>2471</v>
      </c>
      <c r="C80" s="10" t="s">
        <v>2335</v>
      </c>
      <c r="D80" s="10" t="s">
        <v>131</v>
      </c>
    </row>
    <row r="81" customFormat="false" ht="15" hidden="false" customHeight="false" outlineLevel="0" collapsed="false">
      <c r="A81" s="10" t="s">
        <v>2472</v>
      </c>
      <c r="B81" s="10" t="s">
        <v>2473</v>
      </c>
      <c r="C81" s="10" t="s">
        <v>2335</v>
      </c>
      <c r="D81" s="10" t="s">
        <v>139</v>
      </c>
    </row>
    <row r="82" customFormat="false" ht="15" hidden="false" customHeight="false" outlineLevel="0" collapsed="false">
      <c r="A82" s="10" t="s">
        <v>2474</v>
      </c>
      <c r="B82" s="10" t="s">
        <v>2475</v>
      </c>
      <c r="C82" s="10" t="s">
        <v>2335</v>
      </c>
      <c r="D82" s="10" t="s">
        <v>355</v>
      </c>
    </row>
    <row r="83" customFormat="false" ht="15" hidden="false" customHeight="false" outlineLevel="0" collapsed="false">
      <c r="A83" s="10" t="s">
        <v>216</v>
      </c>
      <c r="B83" s="10" t="s">
        <v>2476</v>
      </c>
      <c r="C83" s="10" t="s">
        <v>1949</v>
      </c>
      <c r="D83" s="10" t="s">
        <v>212</v>
      </c>
    </row>
    <row r="84" customFormat="false" ht="15" hidden="false" customHeight="false" outlineLevel="0" collapsed="false">
      <c r="A84" s="10" t="s">
        <v>2477</v>
      </c>
      <c r="B84" s="10" t="s">
        <v>2478</v>
      </c>
      <c r="C84" s="10" t="s">
        <v>2335</v>
      </c>
      <c r="D84" s="10" t="s">
        <v>118</v>
      </c>
    </row>
    <row r="85" customFormat="false" ht="15" hidden="false" customHeight="false" outlineLevel="0" collapsed="false">
      <c r="A85" s="10" t="s">
        <v>2479</v>
      </c>
      <c r="B85" s="10" t="s">
        <v>2480</v>
      </c>
      <c r="C85" s="10" t="s">
        <v>2335</v>
      </c>
      <c r="D85" s="10" t="s">
        <v>73</v>
      </c>
    </row>
    <row r="86" customFormat="false" ht="15" hidden="false" customHeight="false" outlineLevel="0" collapsed="false">
      <c r="A86" s="10" t="s">
        <v>2481</v>
      </c>
      <c r="B86" s="10" t="s">
        <v>2482</v>
      </c>
      <c r="C86" s="10" t="s">
        <v>2335</v>
      </c>
      <c r="D86" s="10" t="s">
        <v>114</v>
      </c>
    </row>
    <row r="87" customFormat="false" ht="15" hidden="false" customHeight="false" outlineLevel="0" collapsed="false">
      <c r="A87" s="10" t="s">
        <v>2483</v>
      </c>
      <c r="B87" s="10" t="s">
        <v>2484</v>
      </c>
      <c r="C87" s="10" t="s">
        <v>2335</v>
      </c>
      <c r="D87" s="10" t="s">
        <v>298</v>
      </c>
    </row>
    <row r="88" customFormat="false" ht="15" hidden="false" customHeight="false" outlineLevel="0" collapsed="false">
      <c r="A88" s="10" t="s">
        <v>2485</v>
      </c>
      <c r="B88" s="10" t="s">
        <v>2486</v>
      </c>
      <c r="C88" s="10" t="s">
        <v>2335</v>
      </c>
      <c r="D88" s="10" t="s">
        <v>378</v>
      </c>
    </row>
    <row r="89" customFormat="false" ht="15" hidden="false" customHeight="false" outlineLevel="0" collapsed="false">
      <c r="A89" s="10" t="s">
        <v>2487</v>
      </c>
      <c r="B89" s="10" t="s">
        <v>2488</v>
      </c>
      <c r="C89" s="10" t="s">
        <v>2335</v>
      </c>
      <c r="D89" s="10" t="s">
        <v>131</v>
      </c>
    </row>
    <row r="90" customFormat="false" ht="15" hidden="false" customHeight="false" outlineLevel="0" collapsed="false">
      <c r="A90" s="10" t="s">
        <v>2489</v>
      </c>
      <c r="B90" s="10" t="s">
        <v>2490</v>
      </c>
      <c r="C90" s="10" t="s">
        <v>2335</v>
      </c>
      <c r="D90" s="10" t="s">
        <v>139</v>
      </c>
    </row>
    <row r="91" customFormat="false" ht="15" hidden="false" customHeight="false" outlineLevel="0" collapsed="false">
      <c r="A91" s="10" t="s">
        <v>2491</v>
      </c>
      <c r="B91" s="10" t="s">
        <v>2492</v>
      </c>
      <c r="C91" s="10" t="s">
        <v>2335</v>
      </c>
      <c r="D91" s="10" t="s">
        <v>139</v>
      </c>
    </row>
    <row r="92" customFormat="false" ht="15" hidden="false" customHeight="false" outlineLevel="0" collapsed="false">
      <c r="A92" s="10" t="s">
        <v>2493</v>
      </c>
      <c r="B92" s="10" t="s">
        <v>2494</v>
      </c>
      <c r="C92" s="10" t="s">
        <v>2335</v>
      </c>
      <c r="D92" s="10" t="s">
        <v>182</v>
      </c>
    </row>
    <row r="93" customFormat="false" ht="15" hidden="false" customHeight="false" outlineLevel="0" collapsed="false">
      <c r="A93" s="10" t="s">
        <v>2495</v>
      </c>
      <c r="B93" s="10" t="s">
        <v>2496</v>
      </c>
      <c r="C93" s="10" t="s">
        <v>2335</v>
      </c>
      <c r="D93" s="10"/>
    </row>
    <row r="94" customFormat="false" ht="15" hidden="false" customHeight="false" outlineLevel="0" collapsed="false">
      <c r="A94" s="10" t="s">
        <v>2497</v>
      </c>
      <c r="B94" s="10" t="s">
        <v>2498</v>
      </c>
      <c r="C94" s="10" t="s">
        <v>2335</v>
      </c>
      <c r="D94" s="10" t="s">
        <v>394</v>
      </c>
    </row>
    <row r="95" customFormat="false" ht="15" hidden="false" customHeight="false" outlineLevel="0" collapsed="false">
      <c r="A95" s="10" t="s">
        <v>2499</v>
      </c>
      <c r="B95" s="10" t="s">
        <v>2500</v>
      </c>
      <c r="C95" s="10" t="s">
        <v>2335</v>
      </c>
      <c r="D95" s="10" t="s">
        <v>78</v>
      </c>
    </row>
    <row r="96" customFormat="false" ht="15" hidden="false" customHeight="false" outlineLevel="0" collapsed="false">
      <c r="A96" s="10" t="s">
        <v>2501</v>
      </c>
      <c r="B96" s="10" t="s">
        <v>2502</v>
      </c>
      <c r="C96" s="10" t="s">
        <v>2335</v>
      </c>
      <c r="D96" s="10" t="s">
        <v>217</v>
      </c>
    </row>
    <row r="97" customFormat="false" ht="15" hidden="false" customHeight="false" outlineLevel="0" collapsed="false">
      <c r="A97" s="10" t="s">
        <v>2503</v>
      </c>
      <c r="B97" s="10" t="s">
        <v>2504</v>
      </c>
      <c r="C97" s="10" t="s">
        <v>2335</v>
      </c>
      <c r="D97" s="10" t="s">
        <v>280</v>
      </c>
    </row>
    <row r="98" customFormat="false" ht="15" hidden="false" customHeight="false" outlineLevel="0" collapsed="false">
      <c r="A98" s="10" t="s">
        <v>2505</v>
      </c>
      <c r="B98" s="10" t="s">
        <v>2506</v>
      </c>
      <c r="C98" s="10" t="s">
        <v>2335</v>
      </c>
      <c r="D98" s="10" t="s">
        <v>247</v>
      </c>
    </row>
    <row r="99" customFormat="false" ht="15" hidden="false" customHeight="false" outlineLevel="0" collapsed="false">
      <c r="A99" s="10" t="s">
        <v>2507</v>
      </c>
      <c r="B99" s="10" t="s">
        <v>2508</v>
      </c>
      <c r="C99" s="10" t="s">
        <v>2335</v>
      </c>
      <c r="D99" s="10" t="s">
        <v>298</v>
      </c>
    </row>
    <row r="100" customFormat="false" ht="15" hidden="false" customHeight="false" outlineLevel="0" collapsed="false">
      <c r="A100" s="10" t="s">
        <v>1800</v>
      </c>
      <c r="B100" s="10" t="s">
        <v>2509</v>
      </c>
      <c r="C100" s="10" t="s">
        <v>2335</v>
      </c>
      <c r="D100" s="10" t="s">
        <v>118</v>
      </c>
    </row>
    <row r="101" customFormat="false" ht="15" hidden="false" customHeight="false" outlineLevel="0" collapsed="false">
      <c r="A101" s="10" t="s">
        <v>2510</v>
      </c>
      <c r="B101" s="10" t="s">
        <v>2511</v>
      </c>
      <c r="C101" s="10" t="s">
        <v>2335</v>
      </c>
      <c r="D101" s="10"/>
    </row>
    <row r="103" customFormat="false" ht="15" hidden="false" customHeight="false" outlineLevel="0" collapsed="false">
      <c r="A103" s="9" t="s">
        <v>2512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2026-10-16T05:09:27Z</dcterms:created>
  <dc:creator>openpyxl</dc:creator>
  <dc:description/>
  <dc:language>en-US</dc:language>
  <cp:lastModifiedBy/>
  <dcterms:modified xsi:type="dcterms:W3CDTF">2026-10-16T05:09:29Z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